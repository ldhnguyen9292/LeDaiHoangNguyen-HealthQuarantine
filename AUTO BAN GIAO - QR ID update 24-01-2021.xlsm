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DSB\Google Drive\DATA-KDYTQT\FINAL FILES\"/>
    </mc:Choice>
  </mc:AlternateContent>
  <xr:revisionPtr revIDLastSave="0" documentId="13_ncr:1_{E985C7D1-5CB5-40FE-A064-89BA2C94280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BIENBAN" sheetId="2" r:id="rId2"/>
    <sheet name="DATA" sheetId="3" r:id="rId3"/>
    <sheet name="DATAPAX" sheetId="4" r:id="rId4"/>
    <sheet name="FILTER" sheetId="5" r:id="rId5"/>
    <sheet name="FILTERDATA" sheetId="6" r:id="rId6"/>
  </sheets>
  <definedNames>
    <definedName name="_xlnm._FilterDatabase" localSheetId="2" hidden="1">DATA!$A$1:$G$247</definedName>
    <definedName name="_xlnm._FilterDatabase" localSheetId="3" hidden="1">DATAPAX!$A$1:$N$377</definedName>
    <definedName name="_xlnm._FilterDatabase" localSheetId="4" hidden="1">FILTER!$M$4:$M$10000</definedName>
    <definedName name="_xlnm._FilterDatabase" localSheetId="0" hidden="1">MAIN!$V$1:$V$150</definedName>
    <definedName name="_xlnm.Criteria" localSheetId="4">FILTER!$A$1:$M$2</definedName>
    <definedName name="_xlnm.Criteria" localSheetId="5">FILTERDATA!$A$1:$H$2</definedName>
    <definedName name="_xlnm.Extract" localSheetId="4">FILTER!$A$3:$M$3</definedName>
    <definedName name="_xlnm.Extract" localSheetId="5">FILTERDATA!$A$3:$H$3</definedName>
    <definedName name="FilterDataPax">OFFSET(FILTER!$A$3,0,0,COUNTA(FILTER!$A$3:$A$10000),13)</definedName>
    <definedName name="FilterXeBG">OFFSET(FILTERDATA!$A$3,0,0,COUNTA(FILTERDATA!$A$3:$A$10000),8)</definedName>
    <definedName name="LoaiCL">OFFSET(MAIN!$T$2,0,0,COUNTA(MAIN!$T:$T),1)</definedName>
    <definedName name="LuotBG">OFFSET(MAIN!$X$2,0,0,COUNTA(MAIN!$X:$X),1)</definedName>
    <definedName name="luotxe">DATA!$E$1</definedName>
    <definedName name="MaCB">OFFSET(MAIN!$S$2,0,0,COUNTA(MAIN!$S:$S)-1,1)</definedName>
    <definedName name="MaGhiChu">OFFSET(MAIN!$W$2,0,0,COUNTA(MAIN!$W:$W),1)</definedName>
    <definedName name="NoiCL">OFFSET(MAIN!$V$2,0,0,COUNTA(MAIN!$V:$V),1)</definedName>
    <definedName name="PRINT">DATA!#REF!</definedName>
    <definedName name="_xlnm.Print_Area" localSheetId="1">BIENBAN!$A$1:$H$104</definedName>
    <definedName name="_xlnm.Print_Area" localSheetId="2">DATA!$A$1:$G$49</definedName>
    <definedName name="update">DATA!$H$1</definedName>
    <definedName name="XeBG">OFFSET(MAIN!$U$2,0,0,COUNTA(MAIN!$U:$U),1)</definedName>
  </definedNames>
  <calcPr calcId="191029"/>
  <pivotCaches>
    <pivotCache cacheId="29" r:id="rId7"/>
  </pivotCaches>
</workbook>
</file>

<file path=xl/calcChain.xml><?xml version="1.0" encoding="utf-8"?>
<calcChain xmlns="http://schemas.openxmlformats.org/spreadsheetml/2006/main">
  <c r="J2" i="3" l="1"/>
  <c r="B13" i="2" l="1"/>
  <c r="C13" i="2"/>
  <c r="D13" i="2"/>
  <c r="E13" i="2"/>
  <c r="F13" i="2"/>
  <c r="G13" i="2"/>
  <c r="H13" i="2"/>
  <c r="B96" i="2" l="1"/>
  <c r="B44" i="2"/>
  <c r="D8" i="1" l="1"/>
  <c r="H66" i="2" l="1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65" i="2"/>
  <c r="D65" i="2"/>
  <c r="E65" i="2"/>
  <c r="F65" i="2"/>
  <c r="G65" i="2"/>
  <c r="H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65" i="2"/>
  <c r="B59" i="2"/>
  <c r="B60" i="2"/>
  <c r="C98" i="2"/>
  <c r="G104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62" i="2" l="1"/>
  <c r="G52" i="2" l="1"/>
  <c r="C46" i="2"/>
  <c r="B8" i="2"/>
  <c r="B7" i="2"/>
  <c r="B10" i="2" l="1"/>
</calcChain>
</file>

<file path=xl/sharedStrings.xml><?xml version="1.0" encoding="utf-8"?>
<sst xmlns="http://schemas.openxmlformats.org/spreadsheetml/2006/main" count="7258" uniqueCount="701">
  <si>
    <t>Sở Y tế thành phố Hồ Chí Minh</t>
  </si>
  <si>
    <t>CỘNG HÒA XÃ HỘI CHỦ NGHĨA VIỆT NAM</t>
  </si>
  <si>
    <t>TT KIỂM DỊCH Y TẾ QUỐC TẾ</t>
  </si>
  <si>
    <t>Độc lập - Tự do - Hạnh phúc</t>
  </si>
  <si>
    <t>--------------------------</t>
  </si>
  <si>
    <t>BIÊN BẢN BÀN GIAO HÀNH KHÁCH ĐẾN TỪ VÙNG DỊCH</t>
  </si>
  <si>
    <t>ĐỂ CÁCH LY PHÒNG CHỐNG DỊCH BỆNH</t>
  </si>
  <si>
    <t>STT</t>
  </si>
  <si>
    <t>Họ tên</t>
  </si>
  <si>
    <t>Năm sinh</t>
  </si>
  <si>
    <t xml:space="preserve">Giới </t>
  </si>
  <si>
    <t>Quốc tịch</t>
  </si>
  <si>
    <t>Hộ chiếu</t>
  </si>
  <si>
    <t>Chuyến bay</t>
  </si>
  <si>
    <t>Đến từ</t>
  </si>
  <si>
    <t>Bên nhận bàn giao</t>
  </si>
  <si>
    <t>Bên bàn giao</t>
  </si>
  <si>
    <t>(Kí, ghi họ tên)</t>
  </si>
  <si>
    <t xml:space="preserve">                      </t>
  </si>
  <si>
    <t>là kiểm dịch viên của Trung tâm Kiểm dịch y tế Quốc tế, tiến hành bàn giao hành khách đến từ</t>
  </si>
  <si>
    <t>CHƯƠNG TRÌNH TỰ ĐỘNG ĐIỀN BIÊN BẢN BÀN GIAO</t>
  </si>
  <si>
    <t>Ngày</t>
  </si>
  <si>
    <t>Chúng tôi gồm</t>
  </si>
  <si>
    <t>Mã CB</t>
  </si>
  <si>
    <t>Xe bàn giao</t>
  </si>
  <si>
    <t>Mã ghi chú</t>
  </si>
  <si>
    <t>Xe BG</t>
  </si>
  <si>
    <t>NR</t>
  </si>
  <si>
    <t>KS</t>
  </si>
  <si>
    <t>TT</t>
  </si>
  <si>
    <t>TTYT</t>
  </si>
  <si>
    <t>BV</t>
  </si>
  <si>
    <t>Nơi CL</t>
  </si>
  <si>
    <t>Loại CL</t>
  </si>
  <si>
    <t>Khác</t>
  </si>
  <si>
    <t>Tổng khách</t>
  </si>
  <si>
    <t>Biên bản</t>
  </si>
  <si>
    <t>BỘ TƯ LỆNH</t>
  </si>
  <si>
    <t>Holiday Inn &amp; Suite - TB</t>
  </si>
  <si>
    <t>Đệ Nhất - TB</t>
  </si>
  <si>
    <t>Norfolk - Q1</t>
  </si>
  <si>
    <t>Bát Đạt - Q5</t>
  </si>
  <si>
    <t>Ibis Sai Gon Airport - TB</t>
  </si>
  <si>
    <t>Mangrover - CG</t>
  </si>
  <si>
    <t>Tân Thái Dương - CG</t>
  </si>
  <si>
    <t>Mã Ghi Chú</t>
  </si>
  <si>
    <t>Mã</t>
  </si>
  <si>
    <t>Lượt xe</t>
  </si>
  <si>
    <t>Giới tính</t>
  </si>
  <si>
    <t>Happy - LA</t>
  </si>
  <si>
    <t>Hoa Phượng Đỏ - BRVT</t>
  </si>
  <si>
    <t>SACO</t>
  </si>
  <si>
    <t>Lượt BG</t>
  </si>
  <si>
    <t>Tổng số Khách</t>
  </si>
  <si>
    <t>CDC Đồng Nai</t>
  </si>
  <si>
    <t>Xuân Đại Thắng - ĐN</t>
  </si>
  <si>
    <t>Ibis Sai Gon South - Q7</t>
  </si>
  <si>
    <t>Des Arts Sai Gon - Q3</t>
  </si>
  <si>
    <t>Le Meridien Saigon - Q1</t>
  </si>
  <si>
    <t>Mã Đà - ĐN</t>
  </si>
  <si>
    <t>Thanh Phát - ĐN</t>
  </si>
  <si>
    <t>Đại Nam - BD</t>
  </si>
  <si>
    <t>CDC Bình Dương</t>
  </si>
  <si>
    <t>Happy 2 - LA</t>
  </si>
  <si>
    <t>TTYT Bến Lức -  LA</t>
  </si>
  <si>
    <t>TTYT Cần Đước - LA</t>
  </si>
  <si>
    <t>TTYT Đức Hòa - LA</t>
  </si>
  <si>
    <t>CDC Bình Phước</t>
  </si>
  <si>
    <t>An Lộc - BP</t>
  </si>
  <si>
    <t>TT Dạy nghề và hỗ trợ - BP</t>
  </si>
  <si>
    <t>CDC Đồng Tháp</t>
  </si>
  <si>
    <t xml:space="preserve">Khu C Củ Chi </t>
  </si>
  <si>
    <t>Trường TCCS nhân dân 6 - ĐN</t>
  </si>
  <si>
    <t>Sư đoàn 317 - HM</t>
  </si>
  <si>
    <t>Nguyễn Tri Phương</t>
  </si>
  <si>
    <t>ND115</t>
  </si>
  <si>
    <t>ND Gia Định</t>
  </si>
  <si>
    <t>Nhi Đồng TP</t>
  </si>
  <si>
    <t>Nhi Đồng 1</t>
  </si>
  <si>
    <t>Nhi Đồng 2</t>
  </si>
  <si>
    <t>Chợ Rẫy</t>
  </si>
  <si>
    <t>Bệnh Nhiệt Đới</t>
  </si>
  <si>
    <t>Trung đoàn Minh Đạm - BRVT</t>
  </si>
  <si>
    <t>Trung đoàn 10 - NB</t>
  </si>
  <si>
    <t>Ngọc Hân - BRVT</t>
  </si>
  <si>
    <t>Cao Su - BRVT</t>
  </si>
  <si>
    <t>Cap Saint Jacques - BRVT</t>
  </si>
  <si>
    <t>CDC Khánh Hòa</t>
  </si>
  <si>
    <t>Galina - KH</t>
  </si>
  <si>
    <t>Anh Thư - TN</t>
  </si>
  <si>
    <t>SYT Tây Ninh</t>
  </si>
  <si>
    <t>Becamex - BD</t>
  </si>
  <si>
    <t>Harmonia - Qngai</t>
  </si>
  <si>
    <t>CDC Quãng Ngãi</t>
  </si>
  <si>
    <t>TTYT TÂN BÌNH</t>
  </si>
  <si>
    <t>Trường quân sự tỉnh Đồng Tháp</t>
  </si>
  <si>
    <t>Trường Cao Đẳng Quốc Tế Vabis - BRVT</t>
  </si>
  <si>
    <t>CC 115</t>
  </si>
  <si>
    <t>CDC LONG AN</t>
  </si>
  <si>
    <t>Hương Sen - Q1</t>
  </si>
  <si>
    <t>Riverside - Q1</t>
  </si>
  <si>
    <t>Sabina - Q7</t>
  </si>
  <si>
    <t>Saigon Park Resort - BD</t>
  </si>
  <si>
    <t>Cititel Parkview - Q1</t>
  </si>
  <si>
    <t>Thảo Sơn - BP</t>
  </si>
  <si>
    <t>Park Royal - TB</t>
  </si>
  <si>
    <t>TimeUpdate</t>
  </si>
  <si>
    <t>Alagon - Q1</t>
  </si>
  <si>
    <t>Sài Gòn - Hà Nội - Q1</t>
  </si>
  <si>
    <t>Bảo Bảo Vi - TN</t>
  </si>
  <si>
    <t>Trường quân sự Quân Khu 7 - Q12</t>
  </si>
  <si>
    <t>TTYT Vĩnh Cửu cơ sở 2 - ĐN</t>
  </si>
  <si>
    <t>TP Dĩ An - BD</t>
  </si>
  <si>
    <t>Sunshine Boutique - Q7</t>
  </si>
  <si>
    <t>A&amp;EM Signature - Q1</t>
  </si>
  <si>
    <t>Ibis Saigon South - Q7</t>
  </si>
  <si>
    <t>Xuân Đại Thắng CS2 - ĐN</t>
  </si>
  <si>
    <t>A&amp;EM 52 TKH - Q1</t>
  </si>
  <si>
    <t>Blue Diamond TVL - Q1</t>
  </si>
  <si>
    <t>Hưng Hương - TB</t>
  </si>
  <si>
    <t>A&amp;EM PBC - Q1</t>
  </si>
  <si>
    <t>Bệnh viện quận 7</t>
  </si>
  <si>
    <t>Blue Diamond TKH - Q1</t>
  </si>
  <si>
    <t>BV COVID - CG</t>
  </si>
  <si>
    <t>Minh Đạm - BRVT</t>
  </si>
  <si>
    <t>Mỹ Lệ - BP</t>
  </si>
  <si>
    <t>Sand Beach Rerort - BT</t>
  </si>
  <si>
    <t>Sen Việt Boutique - Q1</t>
  </si>
  <si>
    <t>Thạnh Phú - ĐN</t>
  </si>
  <si>
    <t>GREENLIGHT HOUSE - NT</t>
  </si>
  <si>
    <t>CDC BÌNH THUẬN</t>
  </si>
  <si>
    <t>TTKDYTQT</t>
  </si>
  <si>
    <t>Row Labels</t>
  </si>
  <si>
    <t>(blank)</t>
  </si>
  <si>
    <t>Grand Total</t>
  </si>
  <si>
    <t>UPDATE</t>
  </si>
  <si>
    <t>HOTEN</t>
  </si>
  <si>
    <t>HOCHIEU</t>
  </si>
  <si>
    <t>MACB</t>
  </si>
  <si>
    <t>XEBG</t>
  </si>
  <si>
    <t>LUOTXE</t>
  </si>
  <si>
    <t>LOAICL</t>
  </si>
  <si>
    <t>NOICL</t>
  </si>
  <si>
    <t>Count of LUOTXE</t>
  </si>
  <si>
    <t>not yet</t>
  </si>
  <si>
    <t/>
  </si>
  <si>
    <t>AHA New Milano - Q7</t>
  </si>
  <si>
    <t>Lâm Viên Thanh Niên Thạnh Hóa - LA</t>
  </si>
  <si>
    <t>Đại đội Bộ binh huyện Mộc Hóa - LA</t>
  </si>
  <si>
    <t>Ký Túc Xá - Trường trung cấp Y tế Bà Rịa</t>
  </si>
  <si>
    <t>Loai K</t>
  </si>
  <si>
    <t>Phi Công</t>
  </si>
  <si>
    <t>Tiếp Viên</t>
  </si>
  <si>
    <t>BV 175</t>
  </si>
  <si>
    <t>TT STVHLS CHIEN KHU D - DN</t>
  </si>
  <si>
    <t>TTYT DAU TIENG - BD</t>
  </si>
  <si>
    <t xml:space="preserve">Khu B Củ Chi </t>
  </si>
  <si>
    <t>TTYTT Tân Uyên -BD</t>
  </si>
  <si>
    <t>Phương Bắc - Q1</t>
  </si>
  <si>
    <t>Shi Việt Nam - Q7</t>
  </si>
  <si>
    <t>Thảo Trang - Q7</t>
  </si>
  <si>
    <t>C:\Users\GA SAI GON 4\Google Drive\DATA-KDYTQT\DATAPAX\ga01.xlsx</t>
  </si>
  <si>
    <t>C:\Users\GA SAI GON 4\Google Drive\DATA-KDYTQT\DATABASE\DATA01\database01.xlsx</t>
  </si>
  <si>
    <t>C:\Users\GA SAI GON 4\Google Drive\DATA-KDYTQT\DATABASE\DATA02\database02.xlsx</t>
  </si>
  <si>
    <t>C:\Users\GA SAI GON 4\Google Drive\DATA-KDYTQT\DATABASE\DATA03\database03.xlsx</t>
  </si>
  <si>
    <t>C:\Users\GA SAI GON 4\Google Drive\DATA-KDYTQT\DATABASE\DATA04\database04.xlsx</t>
  </si>
  <si>
    <t>C:\Users\GA SAI GON 4\Google Drive\DATA-KDYTQT\DATABASE\DATA05\database05.xlsx</t>
  </si>
  <si>
    <t>C:\Users\GA SAI GON 4\Google Drive\DATA-KDYTQT\DATABASE\DATA06\database06.xlsx</t>
  </si>
  <si>
    <t>CDC Bà Rịa - Vũng Tàu</t>
  </si>
  <si>
    <t>printed</t>
  </si>
  <si>
    <t>K6816</t>
  </si>
  <si>
    <t>CHANG SHUO HSIEN</t>
  </si>
  <si>
    <t>AM017498</t>
  </si>
  <si>
    <t>KENNEDY CRUZ</t>
  </si>
  <si>
    <t>P6633825A</t>
  </si>
  <si>
    <t>IBIS  Airport</t>
  </si>
  <si>
    <t xml:space="preserve">Holiday Inn </t>
  </si>
  <si>
    <t>Đệ Nhất</t>
  </si>
  <si>
    <t>ALAGON</t>
  </si>
  <si>
    <t>Blue Diamond - 02</t>
  </si>
  <si>
    <t>CI783</t>
  </si>
  <si>
    <t xml:space="preserve">Sunshine Boutique </t>
  </si>
  <si>
    <t>PHƯƠNG BẮC</t>
  </si>
  <si>
    <t>Blue Diamond - 01</t>
  </si>
  <si>
    <t>CDC Tiền Giang</t>
  </si>
  <si>
    <t>VNA268</t>
  </si>
  <si>
    <t>TT KSBT thành phố Hồ Chí Minh</t>
  </si>
  <si>
    <t>KHOA KIỂM DỊCH Y TẾ QUỐC TẾ</t>
  </si>
  <si>
    <t>là kiểm dịch viên của Khoa Kiểm dịch y tế Quốc tế, tiến hành bàn giao hành khách đến từ</t>
  </si>
  <si>
    <t>Đông Đô - TB</t>
  </si>
  <si>
    <t>Grand Silverland - Q1</t>
  </si>
  <si>
    <t>Hoa Đệ Nhất-TB</t>
  </si>
  <si>
    <t xml:space="preserve">YAN ZIJIAN </t>
  </si>
  <si>
    <t>E76289670</t>
  </si>
  <si>
    <t>CZ3069</t>
  </si>
  <si>
    <t>Holiday Inn &amp; Suites</t>
  </si>
  <si>
    <t xml:space="preserve">CAO YANG </t>
  </si>
  <si>
    <t>EE1241291</t>
  </si>
  <si>
    <t xml:space="preserve">HE ZHEBIN </t>
  </si>
  <si>
    <t>EA7669134</t>
  </si>
  <si>
    <t>Ibis Sài Gòn Airport</t>
  </si>
  <si>
    <t>ZENG WANXIA</t>
  </si>
  <si>
    <t>EJ4183896</t>
  </si>
  <si>
    <t>HOU GUANLING</t>
  </si>
  <si>
    <t>ED2298447</t>
  </si>
  <si>
    <t>PENG MINPING</t>
  </si>
  <si>
    <t>E43520821</t>
  </si>
  <si>
    <t>PENG SHENG</t>
  </si>
  <si>
    <t>EE3085814</t>
  </si>
  <si>
    <t>KUO HUANGJUI</t>
  </si>
  <si>
    <t>306182301</t>
  </si>
  <si>
    <t>ZHAO LIN</t>
  </si>
  <si>
    <t>EJ4240728</t>
  </si>
  <si>
    <t>Hoa Đệ Nhất</t>
  </si>
  <si>
    <t>LEE TECK WAI</t>
  </si>
  <si>
    <t>K179289P</t>
  </si>
  <si>
    <t>SQ178</t>
  </si>
  <si>
    <t>VINOTHAN SARANGADARAM</t>
  </si>
  <si>
    <t>A52230343</t>
  </si>
  <si>
    <t>ALLEN BRUCE GORDON</t>
  </si>
  <si>
    <t>PB3010332</t>
  </si>
  <si>
    <t>Hương Sen</t>
  </si>
  <si>
    <t>KIM CHUL MIN</t>
  </si>
  <si>
    <t>M31204909</t>
  </si>
  <si>
    <t xml:space="preserve">YAP CHIN CHING </t>
  </si>
  <si>
    <t>E5857936II</t>
  </si>
  <si>
    <t>LOW JOSEPH KAR YEW</t>
  </si>
  <si>
    <t>K0616816H</t>
  </si>
  <si>
    <t>ABDUROHMAN</t>
  </si>
  <si>
    <t>B6312040</t>
  </si>
  <si>
    <t>A&amp;EM</t>
  </si>
  <si>
    <t xml:space="preserve">CHIU CHIN MO </t>
  </si>
  <si>
    <t>310924999</t>
  </si>
  <si>
    <t xml:space="preserve">LIN JUNG FU </t>
  </si>
  <si>
    <t>353620404</t>
  </si>
  <si>
    <t>WU CHING CHE</t>
  </si>
  <si>
    <t>312998407</t>
  </si>
  <si>
    <t>LAI CHE</t>
  </si>
  <si>
    <t>306666186</t>
  </si>
  <si>
    <t xml:space="preserve">KANG CHOU HANG </t>
  </si>
  <si>
    <t>307173179</t>
  </si>
  <si>
    <t xml:space="preserve">ABE RYOTARO </t>
  </si>
  <si>
    <t>TZ1217945</t>
  </si>
  <si>
    <t>NH891</t>
  </si>
  <si>
    <t xml:space="preserve">KARASAWA KANA </t>
  </si>
  <si>
    <t>TT1436395</t>
  </si>
  <si>
    <t xml:space="preserve">DAIMON SHO </t>
  </si>
  <si>
    <t>TR8598552</t>
  </si>
  <si>
    <t>SAWAI TADAO</t>
  </si>
  <si>
    <t>TR8043317</t>
  </si>
  <si>
    <t xml:space="preserve">SAKAGUCHI HIROKO </t>
  </si>
  <si>
    <t>TS2041557</t>
  </si>
  <si>
    <t xml:space="preserve">TSUJI CHIHIRO </t>
  </si>
  <si>
    <t>TT1208427</t>
  </si>
  <si>
    <t>TSUJI SAKUYA</t>
  </si>
  <si>
    <t>MJ1150591</t>
  </si>
  <si>
    <t>TSUJI  IKUYA</t>
  </si>
  <si>
    <t>MJ1150592</t>
  </si>
  <si>
    <t>TSUJI  MISORA</t>
  </si>
  <si>
    <t>MJ1150593</t>
  </si>
  <si>
    <t xml:space="preserve">ABE MAKIKO </t>
  </si>
  <si>
    <t>TR5569499</t>
  </si>
  <si>
    <t xml:space="preserve">ABE ITOSHI </t>
  </si>
  <si>
    <t>MU8298243</t>
  </si>
  <si>
    <t xml:space="preserve">ABE GENJI </t>
  </si>
  <si>
    <t>MJ1282205</t>
  </si>
  <si>
    <t>SUGIYAMA SHUNYA</t>
  </si>
  <si>
    <t>MJ1188561</t>
  </si>
  <si>
    <t xml:space="preserve">NGUYEN TRI TAM </t>
  </si>
  <si>
    <t>C6433651</t>
  </si>
  <si>
    <t>VU DINH HUYEN TRANG</t>
  </si>
  <si>
    <t>C6313965</t>
  </si>
  <si>
    <t xml:space="preserve">NGUYEN TAM THUYEN </t>
  </si>
  <si>
    <t>C6149160</t>
  </si>
  <si>
    <t>NGO THI THANH NHAN</t>
  </si>
  <si>
    <t>C6433650</t>
  </si>
  <si>
    <t>NGO THI THANH THUY</t>
  </si>
  <si>
    <t>C7426777</t>
  </si>
  <si>
    <t>OSTERBERG NIELS OLAF</t>
  </si>
  <si>
    <t>210911124</t>
  </si>
  <si>
    <t>Norfolk</t>
  </si>
  <si>
    <t>RUTTEN PERTRUS JOHANNA MARIA</t>
  </si>
  <si>
    <t>BFK2P7F32</t>
  </si>
  <si>
    <t>SENG RATH MONY</t>
  </si>
  <si>
    <t>N00013411</t>
  </si>
  <si>
    <t>KWOK YEE YING</t>
  </si>
  <si>
    <t>AC750271</t>
  </si>
  <si>
    <t>LAI MENG CHI</t>
  </si>
  <si>
    <t>MA0533007</t>
  </si>
  <si>
    <t>SAIGON -  HANOI</t>
  </si>
  <si>
    <t>YOW KAH LIONG</t>
  </si>
  <si>
    <t>K1428318A</t>
  </si>
  <si>
    <t>COROMINAS SEBASTIEN RICHARD RINALDO</t>
  </si>
  <si>
    <t>13AF91079</t>
  </si>
  <si>
    <t>REVERSIDE</t>
  </si>
  <si>
    <t>LU HUY</t>
  </si>
  <si>
    <t>HH055619</t>
  </si>
  <si>
    <t xml:space="preserve">LEE YUNG SHENG </t>
  </si>
  <si>
    <t>K1635624H</t>
  </si>
  <si>
    <t>TRAN NAM TRUNG</t>
  </si>
  <si>
    <t>VG0000913</t>
  </si>
  <si>
    <t>Mr. THONGSUPYAI THONGCHAIPAT</t>
  </si>
  <si>
    <t>AB3084453</t>
  </si>
  <si>
    <t>HƯƠNG SEN</t>
  </si>
  <si>
    <t>TOULEMONDE LUDOVIC PIERRE JACQUES HENRI</t>
  </si>
  <si>
    <t>17FV28858</t>
  </si>
  <si>
    <t>GANDER BARRY WAYNE DOLPHIN</t>
  </si>
  <si>
    <t>518364392</t>
  </si>
  <si>
    <t>CAO SU</t>
  </si>
  <si>
    <t>ANIS ABDUL AZIS MUHAMAD</t>
  </si>
  <si>
    <t>B8101923</t>
  </si>
  <si>
    <t>IBIS Saigon South</t>
  </si>
  <si>
    <t>NGUYEN THI PHUONG HA</t>
  </si>
  <si>
    <t>C5195960</t>
  </si>
  <si>
    <t>A&amp;EM - 01</t>
  </si>
  <si>
    <t>NGUYEN THI ANH THU</t>
  </si>
  <si>
    <t>C5720873</t>
  </si>
  <si>
    <t>NG KOK LEONG</t>
  </si>
  <si>
    <t>A41271473</t>
  </si>
  <si>
    <t xml:space="preserve">POH KOK ENG </t>
  </si>
  <si>
    <t>K1431295G</t>
  </si>
  <si>
    <t>A&amp;EM - 02</t>
  </si>
  <si>
    <t>PAW EE SIN</t>
  </si>
  <si>
    <t>K0971808H</t>
  </si>
  <si>
    <t>LEE / JIA JIE SHAWN</t>
  </si>
  <si>
    <t>K0130897G</t>
  </si>
  <si>
    <t xml:space="preserve">CHEUNG PAK KWAN </t>
  </si>
  <si>
    <t>K05928782</t>
  </si>
  <si>
    <t>Mr. Dong Zheng</t>
  </si>
  <si>
    <t>EE1295851</t>
  </si>
  <si>
    <t>ĐỖ XUÂN THÁI</t>
  </si>
  <si>
    <t>B6957262</t>
  </si>
  <si>
    <t>LIÊU BẢO LONG</t>
  </si>
  <si>
    <t>C1389351</t>
  </si>
  <si>
    <t>AGUSTINUS GUNAWAN RIYADI</t>
  </si>
  <si>
    <t>B8909125</t>
  </si>
  <si>
    <t>Mr. De Vera Adward</t>
  </si>
  <si>
    <t>P5778684A</t>
  </si>
  <si>
    <t xml:space="preserve">Cititel Parkview </t>
  </si>
  <si>
    <t xml:space="preserve">NGUYỄN NGỌC SƠN </t>
  </si>
  <si>
    <t>C7051344</t>
  </si>
  <si>
    <t>A&amp;EM  01</t>
  </si>
  <si>
    <t xml:space="preserve">NGUYỄN THỊ LAN </t>
  </si>
  <si>
    <t>N2177412</t>
  </si>
  <si>
    <t xml:space="preserve">NGUYỄN SINH MINH TOÀN </t>
  </si>
  <si>
    <t>C8626110</t>
  </si>
  <si>
    <t>DARMANTO</t>
  </si>
  <si>
    <t>C6823318</t>
  </si>
  <si>
    <t xml:space="preserve">Ngọc Hân </t>
  </si>
  <si>
    <t>MARDI</t>
  </si>
  <si>
    <t>C5345996</t>
  </si>
  <si>
    <t>YOZZA PLADI SUKARYA</t>
  </si>
  <si>
    <t>C6823313</t>
  </si>
  <si>
    <t>JONATHAN DWIE SUMARSONO</t>
  </si>
  <si>
    <t>C5670262</t>
  </si>
  <si>
    <t>JAJANG SOPIAN</t>
  </si>
  <si>
    <t>C5670608</t>
  </si>
  <si>
    <t>AGUS RISMAWAN</t>
  </si>
  <si>
    <t>C5345997</t>
  </si>
  <si>
    <t>LEE KOK BENG THOMAS</t>
  </si>
  <si>
    <t>K1111777N</t>
  </si>
  <si>
    <t>MAYYA JARAMILLO ALEXANDER</t>
  </si>
  <si>
    <t>AW758841</t>
  </si>
  <si>
    <t>YAN XINHAI</t>
  </si>
  <si>
    <t>G59849697</t>
  </si>
  <si>
    <t xml:space="preserve">NGỌC HÂN </t>
  </si>
  <si>
    <t xml:space="preserve">GAO SHAN </t>
  </si>
  <si>
    <t>E88856635</t>
  </si>
  <si>
    <t>FU YONGYI</t>
  </si>
  <si>
    <t>E13210943</t>
  </si>
  <si>
    <t>IADCHUAY SOMSAK</t>
  </si>
  <si>
    <t>AB5206326</t>
  </si>
  <si>
    <t>MOGENSEN MARTIN SKARE</t>
  </si>
  <si>
    <t>209024293</t>
  </si>
  <si>
    <t>CHONG YUN CHIEN</t>
  </si>
  <si>
    <t>A50908295</t>
  </si>
  <si>
    <t>Sato Fuminori</t>
  </si>
  <si>
    <t>TR1561989</t>
  </si>
  <si>
    <t>Levy Thomas Joey</t>
  </si>
  <si>
    <t>18CH70894</t>
  </si>
  <si>
    <t>Nisky Chloe Helene Rose</t>
  </si>
  <si>
    <t>13BE51799</t>
  </si>
  <si>
    <t>Trolliet Charles Philippe</t>
  </si>
  <si>
    <t>20FV04790</t>
  </si>
  <si>
    <t>CHARRUAU HUGO PIERRE JEAN</t>
  </si>
  <si>
    <t>19FF63448</t>
  </si>
  <si>
    <t>SONG PEI GUAN</t>
  </si>
  <si>
    <t>B7739647</t>
  </si>
  <si>
    <t>KJAER LARS</t>
  </si>
  <si>
    <t>210611220</t>
  </si>
  <si>
    <t>FENG TIE SHAN</t>
  </si>
  <si>
    <t>G54176001</t>
  </si>
  <si>
    <t>Mr Hou Ping</t>
  </si>
  <si>
    <t>EG5828604</t>
  </si>
  <si>
    <t>Cui Wei</t>
  </si>
  <si>
    <t>EJ2625058</t>
  </si>
  <si>
    <t>Wang Liming</t>
  </si>
  <si>
    <t>G59212368</t>
  </si>
  <si>
    <t>Mr. YANG YANG </t>
  </si>
  <si>
    <t>E15600702</t>
  </si>
  <si>
    <t>Đệ Nhất </t>
  </si>
  <si>
    <t>LYU JIN XIANG</t>
  </si>
  <si>
    <t>EJ1650781</t>
  </si>
  <si>
    <t>MA SHASHA</t>
  </si>
  <si>
    <t>E67720899</t>
  </si>
  <si>
    <t>Mr Li Yong Chao</t>
  </si>
  <si>
    <t>E23294996</t>
  </si>
  <si>
    <t>Mr Wang Jing Long</t>
  </si>
  <si>
    <t>EH9331147</t>
  </si>
  <si>
    <t xml:space="preserve">Mr. Hong Yu </t>
  </si>
  <si>
    <t>EA9570255</t>
  </si>
  <si>
    <t>ZHU BAO MING</t>
  </si>
  <si>
    <t>EJ3929564</t>
  </si>
  <si>
    <t>ZENG QING HUI</t>
  </si>
  <si>
    <t>EF6111025</t>
  </si>
  <si>
    <t>ZHOU JUN HU</t>
  </si>
  <si>
    <t>EJ3776470</t>
  </si>
  <si>
    <t>ZHENG PEIXUAN</t>
  </si>
  <si>
    <t>E74161475</t>
  </si>
  <si>
    <t>BÁT ĐẠT</t>
  </si>
  <si>
    <t>ZHENG WEI</t>
  </si>
  <si>
    <t>ED6871617</t>
  </si>
  <si>
    <t>MR. GUO FENG</t>
  </si>
  <si>
    <t>PE2041760</t>
  </si>
  <si>
    <t>Mr. Pan HongWei</t>
  </si>
  <si>
    <t>EA8301269</t>
  </si>
  <si>
    <t>LE, CHENGYAN</t>
  </si>
  <si>
    <t>E22162815</t>
  </si>
  <si>
    <t>FU CHEN HAO</t>
  </si>
  <si>
    <t>353646222</t>
  </si>
  <si>
    <t>ZHENG CHUN MING</t>
  </si>
  <si>
    <t>EE3622005</t>
  </si>
  <si>
    <t>HWANG YUAN YU</t>
  </si>
  <si>
    <t>353436141</t>
  </si>
  <si>
    <t>LI JIE BANG</t>
  </si>
  <si>
    <t>E84680022</t>
  </si>
  <si>
    <t>LI PEI</t>
  </si>
  <si>
    <t>E84669375</t>
  </si>
  <si>
    <t>CHEN GUANG</t>
  </si>
  <si>
    <t>E61224255</t>
  </si>
  <si>
    <t>HUNG, CHIA-FENG</t>
  </si>
  <si>
    <t>352837249</t>
  </si>
  <si>
    <t>Mr. MAHIEUX ROBIN HUGO</t>
  </si>
  <si>
    <t>20FV00205</t>
  </si>
  <si>
    <t>ZHUANG WEN CHONG</t>
  </si>
  <si>
    <t>EC3221502</t>
  </si>
  <si>
    <t>YANG HAI FENG</t>
  </si>
  <si>
    <t>E90182002</t>
  </si>
  <si>
    <t>MA CHAO</t>
  </si>
  <si>
    <t>E24255161</t>
  </si>
  <si>
    <t>LIU JIA WEN</t>
  </si>
  <si>
    <t>EB8986676</t>
  </si>
  <si>
    <t>LIANG JIAN MING</t>
  </si>
  <si>
    <t>E60517174</t>
  </si>
  <si>
    <t>MILANO</t>
  </si>
  <si>
    <t>LI DONGGE</t>
  </si>
  <si>
    <t>EJ3997091</t>
  </si>
  <si>
    <t>Wu Qiang</t>
  </si>
  <si>
    <t>E32396570</t>
  </si>
  <si>
    <t xml:space="preserve">Cai Meina </t>
  </si>
  <si>
    <t>EJ3356136</t>
  </si>
  <si>
    <t>Zhu Min</t>
  </si>
  <si>
    <t>EH4924864</t>
  </si>
  <si>
    <t>Grese Joshua Peter</t>
  </si>
  <si>
    <t>644176390</t>
  </si>
  <si>
    <t>Hinshaw Laura Elizabeth</t>
  </si>
  <si>
    <t>599946270</t>
  </si>
  <si>
    <t>Yin/Jian Mr</t>
  </si>
  <si>
    <t>E33085392</t>
  </si>
  <si>
    <t>HE WEI</t>
  </si>
  <si>
    <t>E05685042</t>
  </si>
  <si>
    <t>Lee Yuan Ming</t>
  </si>
  <si>
    <t>314419768</t>
  </si>
  <si>
    <t>DESTATTE PATRICK</t>
  </si>
  <si>
    <t>EP617518</t>
  </si>
  <si>
    <t xml:space="preserve">KAO CHIANG WEN </t>
  </si>
  <si>
    <t>308998501</t>
  </si>
  <si>
    <t>HUANG KUAN CHIH</t>
  </si>
  <si>
    <t>314018181</t>
  </si>
  <si>
    <t>WANG CHIN KUAI</t>
  </si>
  <si>
    <t>306804861</t>
  </si>
  <si>
    <t>SU CHING NAN</t>
  </si>
  <si>
    <t>303774349</t>
  </si>
  <si>
    <t>CHI TSENG NIEN</t>
  </si>
  <si>
    <t>303771181</t>
  </si>
  <si>
    <t xml:space="preserve">YANG SHANG HSIEN </t>
  </si>
  <si>
    <t>352557869</t>
  </si>
  <si>
    <t>HSIEH, PI - O</t>
  </si>
  <si>
    <t>303991250</t>
  </si>
  <si>
    <t>LIANG YU LIN</t>
  </si>
  <si>
    <t>353127746</t>
  </si>
  <si>
    <t>LEE FU-TUNG</t>
  </si>
  <si>
    <t>307406748</t>
  </si>
  <si>
    <t>TSAI CHUN YU</t>
  </si>
  <si>
    <t>353649490</t>
  </si>
  <si>
    <t>HU, CHIH-CHIANG</t>
  </si>
  <si>
    <t>352198001</t>
  </si>
  <si>
    <t>LIN, TZU – HONG</t>
  </si>
  <si>
    <t>311556006</t>
  </si>
  <si>
    <t>TO KA WING</t>
  </si>
  <si>
    <t>K04117662</t>
  </si>
  <si>
    <t>CX799</t>
  </si>
  <si>
    <t>Holiday Inn</t>
  </si>
  <si>
    <t xml:space="preserve">Mr. Ishikawa Yoshinori </t>
  </si>
  <si>
    <t>TK9298486</t>
  </si>
  <si>
    <t xml:space="preserve">Mr. Imazumi Seiji </t>
  </si>
  <si>
    <t>TS0145874</t>
  </si>
  <si>
    <t>YAMANE KYOSUKE</t>
  </si>
  <si>
    <t>TS2102173</t>
  </si>
  <si>
    <t>KATAOKA YUKIKAZU</t>
  </si>
  <si>
    <t>MJ1308555</t>
  </si>
  <si>
    <t>MASUJIMA YOICHIRO</t>
  </si>
  <si>
    <t>TR2667619</t>
  </si>
  <si>
    <t>YAMAZAKI SHUNSUKE</t>
  </si>
  <si>
    <t>TR6501116</t>
  </si>
  <si>
    <t>Mr. Eiji Sumitomo</t>
  </si>
  <si>
    <t>MJ1397901</t>
  </si>
  <si>
    <t>WATANABE MASATO</t>
  </si>
  <si>
    <t>TS5189580</t>
  </si>
  <si>
    <t>HATTORI TAMAKI MS</t>
  </si>
  <si>
    <t>TR7886140</t>
  </si>
  <si>
    <t>ASATANI MAI MS</t>
  </si>
  <si>
    <t>TS0412459</t>
  </si>
  <si>
    <t>MATSUDA UGI</t>
  </si>
  <si>
    <t>TZ2025179</t>
  </si>
  <si>
    <t>MATSUDA HIROMI</t>
  </si>
  <si>
    <t>TZ2025180</t>
  </si>
  <si>
    <t>MATSUDA HOTARU</t>
  </si>
  <si>
    <t>MZ1281903</t>
  </si>
  <si>
    <t>MATSUDA ASAHI</t>
  </si>
  <si>
    <t>MZ2027727</t>
  </si>
  <si>
    <t>HASHIMOTO MARIKO</t>
  </si>
  <si>
    <t>TT1582537</t>
  </si>
  <si>
    <t>HASHIMOTO YUKI</t>
  </si>
  <si>
    <t>MJ1342511</t>
  </si>
  <si>
    <t xml:space="preserve">HASHIMOTO HARUMA </t>
  </si>
  <si>
    <t>MJ1342526</t>
  </si>
  <si>
    <t>NISHITANI HIROYUKI</t>
  </si>
  <si>
    <t>TR2002384</t>
  </si>
  <si>
    <t>YAMADA TAKUYA</t>
  </si>
  <si>
    <t>TS1330450</t>
  </si>
  <si>
    <t>FURUKAWA SHINICHI</t>
  </si>
  <si>
    <t>TK6568446</t>
  </si>
  <si>
    <t>ARAI JUNYA</t>
  </si>
  <si>
    <t>TR5350725</t>
  </si>
  <si>
    <t>MORITA YUICHI</t>
  </si>
  <si>
    <t>TR7263319</t>
  </si>
  <si>
    <t>Mr. MAEDA KEN</t>
  </si>
  <si>
    <t>TT1574956</t>
  </si>
  <si>
    <t>Mr. MATSUOKA KAZUYUKI</t>
  </si>
  <si>
    <t>TT1463879</t>
  </si>
  <si>
    <t>Mr. MORI KENICHI</t>
  </si>
  <si>
    <t>TS0838534</t>
  </si>
  <si>
    <t>Mr. ANDA TAKAAKI</t>
  </si>
  <si>
    <t>TS0045588</t>
  </si>
  <si>
    <t>Mr. TAKAGI TAKAAKI</t>
  </si>
  <si>
    <t>MJ0197057</t>
  </si>
  <si>
    <t>Mr. MIZUTA NAOKAZU</t>
  </si>
  <si>
    <t>TR1726126</t>
  </si>
  <si>
    <t>Mr. TANAKA HIROMI</t>
  </si>
  <si>
    <t>TK9226257</t>
  </si>
  <si>
    <t>Mr. YAMAGUCHI SHINJI</t>
  </si>
  <si>
    <t>TS3965970</t>
  </si>
  <si>
    <t>Mr. YAMAMOTO TAKUYA</t>
  </si>
  <si>
    <t>TT1240922</t>
  </si>
  <si>
    <t xml:space="preserve">Mr. Ishikawa Ko </t>
  </si>
  <si>
    <t>TZ1183694</t>
  </si>
  <si>
    <t xml:space="preserve">OCHIAI MASAHIRO </t>
  </si>
  <si>
    <t>TR4610302</t>
  </si>
  <si>
    <t>KURITA MAI</t>
  </si>
  <si>
    <t>TT1385869</t>
  </si>
  <si>
    <t xml:space="preserve">ABE YUTA </t>
  </si>
  <si>
    <t>TR7619078</t>
  </si>
  <si>
    <t>TANIOKA HISASHI</t>
  </si>
  <si>
    <t>MU5294575</t>
  </si>
  <si>
    <t>KONDO KARAORU</t>
  </si>
  <si>
    <t>TR6308916</t>
  </si>
  <si>
    <t>MITANI MAFUYU</t>
  </si>
  <si>
    <t>TS1245358</t>
  </si>
  <si>
    <t>Mr. Yamaki Hideyuki</t>
  </si>
  <si>
    <t>TK8958676</t>
  </si>
  <si>
    <t>MR TERADA YOSHIFUMI</t>
  </si>
  <si>
    <t>TZ1193588</t>
  </si>
  <si>
    <t>Mr. Wada Shin</t>
  </si>
  <si>
    <t>TR8699083</t>
  </si>
  <si>
    <t>Mr. Toyotome Ichiro</t>
  </si>
  <si>
    <t>TL0009468</t>
  </si>
  <si>
    <t xml:space="preserve">MAENAKA KOICHIRO </t>
  </si>
  <si>
    <t>TR5679728</t>
  </si>
  <si>
    <t>Mr. IWANAGA YOSHIHARU</t>
  </si>
  <si>
    <t>TS4897263</t>
  </si>
  <si>
    <t>Mr. KANAOKA TAKAHIRO</t>
  </si>
  <si>
    <t>TS2386754</t>
  </si>
  <si>
    <t>LAI THU ANH</t>
  </si>
  <si>
    <t>566572904</t>
  </si>
  <si>
    <t>UETANI TOMOAKI</t>
  </si>
  <si>
    <t>TS4777267</t>
  </si>
  <si>
    <t>IWASAKI KIYOSHI</t>
  </si>
  <si>
    <t>TZ1168146</t>
  </si>
  <si>
    <t>ENDO AKIRA</t>
  </si>
  <si>
    <t>TS4935886</t>
  </si>
  <si>
    <t>HASHIMOTO KEN</t>
  </si>
  <si>
    <t>TK8904521</t>
  </si>
  <si>
    <t>OHASHI KATSUMI</t>
  </si>
  <si>
    <t>TR1090774</t>
  </si>
  <si>
    <t>NISHIJIMA TOSHIHIKO</t>
  </si>
  <si>
    <t>TS5307124</t>
  </si>
  <si>
    <t>IZUMI MAYO</t>
  </si>
  <si>
    <t>TR2296420</t>
  </si>
  <si>
    <t>KURISAWA KENTA</t>
  </si>
  <si>
    <t>TS1099937</t>
  </si>
  <si>
    <t>ABE MICHIHARU</t>
  </si>
  <si>
    <t>TS5148853</t>
  </si>
  <si>
    <t>SATO MASANORI</t>
  </si>
  <si>
    <t>TS5148851</t>
  </si>
  <si>
    <t>SATO TAKAKAZU</t>
  </si>
  <si>
    <t>TS5148912</t>
  </si>
  <si>
    <t>HOSODA DAIKI</t>
  </si>
  <si>
    <t>MU7604361</t>
  </si>
  <si>
    <t>SHIRAISHI AKINOBU</t>
  </si>
  <si>
    <t>TS5148995</t>
  </si>
  <si>
    <t>OTA SHO</t>
  </si>
  <si>
    <t>TT1002944</t>
  </si>
  <si>
    <t>OTAKI TSUNEYA</t>
  </si>
  <si>
    <t>TS5100431</t>
  </si>
  <si>
    <t>OTANI TOMOYUKI</t>
  </si>
  <si>
    <t>TS1422474</t>
  </si>
  <si>
    <t>TSUCHIKIRI TAISUKE</t>
  </si>
  <si>
    <t>TT1115587</t>
  </si>
  <si>
    <t>MATSUMOTO TAKASHI</t>
  </si>
  <si>
    <t>TR8915141</t>
  </si>
  <si>
    <t>ARAI HARUKI</t>
  </si>
  <si>
    <t>TT1252266</t>
  </si>
  <si>
    <t>SAMBONGI KOTA</t>
  </si>
  <si>
    <t>TS1053213</t>
  </si>
  <si>
    <t>KISHIRO TAKESHI</t>
  </si>
  <si>
    <t>B6894949</t>
  </si>
  <si>
    <t>HIROTSU TAKAYUKI</t>
  </si>
  <si>
    <t>TR1342845</t>
  </si>
  <si>
    <t xml:space="preserve">Hasegawa Kazuki </t>
  </si>
  <si>
    <t>TZ1072193</t>
  </si>
  <si>
    <t>Koyama Yoko</t>
  </si>
  <si>
    <t>TT1557900</t>
  </si>
  <si>
    <t>Koyama Kiko</t>
  </si>
  <si>
    <t>MJ1240457</t>
  </si>
  <si>
    <t>Koyama An</t>
  </si>
  <si>
    <t>MJ1240456</t>
  </si>
  <si>
    <t>Koyama Rin</t>
  </si>
  <si>
    <t>MJ1240455</t>
  </si>
  <si>
    <t>Hamabe Takayoshi</t>
  </si>
  <si>
    <t>TS1108113</t>
  </si>
  <si>
    <t>Matsufuji Yoichi</t>
  </si>
  <si>
    <t>TL0205101</t>
  </si>
  <si>
    <t>KOJIMA JUNJI</t>
  </si>
  <si>
    <t>TS1735177</t>
  </si>
  <si>
    <t>MURAYAMA TAKASHI</t>
  </si>
  <si>
    <t>TR2462550</t>
  </si>
  <si>
    <t>MASUDA JOJI</t>
  </si>
  <si>
    <t>TR1531255</t>
  </si>
  <si>
    <t>PHAN QUOC CONG</t>
  </si>
  <si>
    <t>K00197508</t>
  </si>
  <si>
    <t>QR970</t>
  </si>
  <si>
    <t>LÂM THỊ NGỌC BÍCH</t>
  </si>
  <si>
    <t>N1932291</t>
  </si>
  <si>
    <t>LÊ TẤN ĐẠT</t>
  </si>
  <si>
    <t>N1932793</t>
  </si>
  <si>
    <t>GOVIGNON LUCAS</t>
  </si>
  <si>
    <t>18EK00479</t>
  </si>
  <si>
    <t>DAO THANH VINH</t>
  </si>
  <si>
    <t>C4415496</t>
  </si>
  <si>
    <t>TRUONG THI THU HIEN</t>
  </si>
  <si>
    <t>C5848735</t>
  </si>
  <si>
    <t>Sunshine Luxury - Q7</t>
  </si>
  <si>
    <t>Sunshine Luxury</t>
  </si>
  <si>
    <t>ĐỆ NHẤT</t>
  </si>
  <si>
    <t xml:space="preserve">Bát Đạt </t>
  </si>
  <si>
    <t>Ngô Thanh Nhã</t>
  </si>
  <si>
    <t>B9333339</t>
  </si>
  <si>
    <t>N777ZH</t>
  </si>
  <si>
    <t>Trương Mễ</t>
  </si>
  <si>
    <t>B9757979</t>
  </si>
  <si>
    <t>Văn Xuân Thảo</t>
  </si>
  <si>
    <t>C1557979</t>
  </si>
  <si>
    <t>Nguyễn Hữu Thuyết</t>
  </si>
  <si>
    <t>N1703555</t>
  </si>
  <si>
    <t>Huỳnh Thị Lan</t>
  </si>
  <si>
    <t>C3925662</t>
  </si>
  <si>
    <t>Phạm Thị Hồn</t>
  </si>
  <si>
    <t>C8211025</t>
  </si>
  <si>
    <t>Đoàn Quế Thanh</t>
  </si>
  <si>
    <t>C2822288</t>
  </si>
  <si>
    <t>Vũ Tùng Lynn</t>
  </si>
  <si>
    <t>C1937650</t>
  </si>
  <si>
    <t>Vũ Tuệ Lâm</t>
  </si>
  <si>
    <t>C1937658</t>
  </si>
  <si>
    <t>Ngô Kien Thi</t>
  </si>
  <si>
    <t>563846597</t>
  </si>
  <si>
    <t xml:space="preserve">LEE JAMIE MAN WEI </t>
  </si>
  <si>
    <t>HJ2041411</t>
  </si>
  <si>
    <t>Novotel - Q3</t>
  </si>
  <si>
    <t>BS LÊ ĐẠI HOÀNG NGUYÊN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</si>
</sst>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[$-F400]h:mm:ss\ AM/PM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Times New Roman"/>
      <family val="1"/>
    </font>
    <font>
      <sz val="9"/>
      <color rgb="FF000000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u/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u/>
      <sz val="14"/>
      <color theme="10"/>
      <name val="Times New Roman"/>
      <family val="1"/>
    </font>
    <font>
      <sz val="14"/>
      <name val="Times New Roman"/>
      <family val="1"/>
    </font>
    <font>
      <sz val="14"/>
      <color rgb="FFFF0000"/>
      <name val="Times New Roman"/>
      <family val="1"/>
    </font>
    <font>
      <sz val="14"/>
      <color rgb="FF000000"/>
      <name val="Times New Roman"/>
      <family val="1"/>
    </font>
    <font>
      <sz val="14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3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3">
    <xf numFmtId="0" fontId="0" fillId="0" borderId="0" xfId="0"/>
    <xf numFmtId="0" fontId="1" fillId="0" borderId="0" xfId="0" applyFont="1" applyAlignment="1"/>
    <xf numFmtId="0" fontId="1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Continuous" vertical="center" wrapText="1"/>
    </xf>
    <xf numFmtId="0" fontId="1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Continuous"/>
    </xf>
    <xf numFmtId="0" fontId="7" fillId="0" borderId="0" xfId="0" applyFont="1" applyAlignment="1"/>
    <xf numFmtId="0" fontId="8" fillId="0" borderId="5" xfId="0" applyFont="1" applyBorder="1" applyAlignment="1">
      <alignment horizontal="center" vertical="center"/>
    </xf>
    <xf numFmtId="0" fontId="8" fillId="0" borderId="0" xfId="0" applyFont="1" applyAlignment="1"/>
    <xf numFmtId="0" fontId="7" fillId="0" borderId="0" xfId="0" applyFont="1" applyBorder="1" applyAlignment="1"/>
    <xf numFmtId="0" fontId="9" fillId="0" borderId="0" xfId="1" applyNumberFormat="1" applyFont="1" applyFill="1" applyBorder="1" applyAlignment="1" applyProtection="1">
      <alignment vertical="center"/>
      <protection locked="0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11" fontId="7" fillId="0" borderId="0" xfId="0" applyNumberFormat="1" applyFont="1" applyAlignment="1"/>
    <xf numFmtId="0" fontId="7" fillId="0" borderId="1" xfId="0" applyFont="1" applyBorder="1" applyAlignment="1"/>
    <xf numFmtId="0" fontId="10" fillId="0" borderId="0" xfId="0" applyFont="1" applyAlignment="1"/>
    <xf numFmtId="0" fontId="11" fillId="0" borderId="0" xfId="1" applyFont="1" applyBorder="1" applyAlignment="1" applyProtection="1">
      <protection locked="0"/>
    </xf>
    <xf numFmtId="164" fontId="7" fillId="0" borderId="1" xfId="0" applyNumberFormat="1" applyFont="1" applyBorder="1" applyAlignment="1" applyProtection="1">
      <protection locked="0"/>
    </xf>
    <xf numFmtId="0" fontId="12" fillId="0" borderId="1" xfId="0" applyNumberFormat="1" applyFont="1" applyBorder="1" applyAlignment="1"/>
    <xf numFmtId="11" fontId="7" fillId="0" borderId="1" xfId="0" applyNumberFormat="1" applyFont="1" applyBorder="1" applyAlignment="1" applyProtection="1">
      <protection locked="0"/>
    </xf>
    <xf numFmtId="0" fontId="7" fillId="0" borderId="1" xfId="0" applyFont="1" applyBorder="1" applyAlignment="1" applyProtection="1">
      <protection locked="0"/>
    </xf>
    <xf numFmtId="0" fontId="7" fillId="0" borderId="0" xfId="0" applyFont="1" applyBorder="1" applyAlignment="1" applyProtection="1">
      <protection locked="0"/>
    </xf>
    <xf numFmtId="0" fontId="12" fillId="0" borderId="1" xfId="0" applyFont="1" applyBorder="1" applyAlignment="1" applyProtection="1"/>
    <xf numFmtId="0" fontId="13" fillId="0" borderId="0" xfId="1" applyFont="1" applyAlignment="1"/>
    <xf numFmtId="0" fontId="11" fillId="0" borderId="0" xfId="1" applyFont="1" applyAlignment="1"/>
    <xf numFmtId="0" fontId="14" fillId="0" borderId="0" xfId="0" applyFont="1" applyAlignment="1"/>
    <xf numFmtId="0" fontId="15" fillId="0" borderId="0" xfId="1" applyFont="1" applyAlignment="1"/>
    <xf numFmtId="22" fontId="7" fillId="0" borderId="0" xfId="0" applyNumberFormat="1" applyFont="1" applyAlignment="1"/>
    <xf numFmtId="0" fontId="7" fillId="0" borderId="0" xfId="0" applyFont="1"/>
    <xf numFmtId="49" fontId="8" fillId="0" borderId="0" xfId="0" applyNumberFormat="1" applyFont="1" applyAlignment="1"/>
    <xf numFmtId="49" fontId="7" fillId="0" borderId="0" xfId="0" applyNumberFormat="1" applyFont="1" applyAlignment="1"/>
    <xf numFmtId="165" fontId="8" fillId="0" borderId="0" xfId="0" applyNumberFormat="1" applyFont="1" applyAlignment="1"/>
    <xf numFmtId="165" fontId="7" fillId="0" borderId="0" xfId="0" applyNumberFormat="1" applyFont="1" applyAlignment="1"/>
    <xf numFmtId="0" fontId="0" fillId="0" borderId="0" xfId="0" applyAlignment="1"/>
    <xf numFmtId="0" fontId="8" fillId="0" borderId="0" xfId="0" applyFont="1" applyAlignment="1" applyProtection="1">
      <protection locked="0"/>
    </xf>
    <xf numFmtId="49" fontId="8" fillId="0" borderId="0" xfId="0" applyNumberFormat="1" applyFont="1" applyAlignment="1" applyProtection="1">
      <protection locked="0"/>
    </xf>
    <xf numFmtId="0" fontId="7" fillId="0" borderId="0" xfId="0" applyFont="1" applyAlignment="1" applyProtection="1">
      <protection locked="0"/>
    </xf>
    <xf numFmtId="49" fontId="7" fillId="0" borderId="0" xfId="0" applyNumberFormat="1" applyFont="1" applyAlignment="1" applyProtection="1">
      <protection locked="0"/>
    </xf>
    <xf numFmtId="11" fontId="7" fillId="0" borderId="0" xfId="0" applyNumberFormat="1" applyFont="1" applyAlignment="1" applyProtection="1">
      <protection locked="0"/>
    </xf>
    <xf numFmtId="11" fontId="7" fillId="0" borderId="0" xfId="0" applyNumberFormat="1" applyFont="1" applyBorder="1" applyAlignment="1" applyProtection="1"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1" fillId="0" borderId="0" xfId="0" applyFont="1" applyAlignment="1" applyProtection="1">
      <protection locked="0"/>
    </xf>
    <xf numFmtId="0" fontId="2" fillId="0" borderId="0" xfId="0" applyFont="1" applyAlignment="1" applyProtection="1">
      <protection locked="0"/>
    </xf>
    <xf numFmtId="0" fontId="0" fillId="0" borderId="0" xfId="0" pivotButton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0" fontId="7" fillId="0" borderId="0" xfId="0" applyFont="1" applyAlignment="1" applyProtection="1"/>
    <xf numFmtId="11" fontId="7" fillId="0" borderId="0" xfId="0" applyNumberFormat="1" applyFont="1" applyBorder="1" applyAlignment="1"/>
    <xf numFmtId="49" fontId="7" fillId="0" borderId="0" xfId="0" applyNumberFormat="1" applyFont="1" applyBorder="1" applyAlignment="1" applyProtection="1">
      <protection locked="0"/>
    </xf>
    <xf numFmtId="49" fontId="7" fillId="0" borderId="0" xfId="0" applyNumberFormat="1" applyFont="1" applyBorder="1" applyAlignment="1"/>
    <xf numFmtId="0" fontId="7" fillId="0" borderId="0" xfId="0" applyFont="1" applyFill="1" applyBorder="1" applyAlignment="1" applyProtection="1">
      <protection locked="0"/>
    </xf>
    <xf numFmtId="0" fontId="16" fillId="0" borderId="0" xfId="0" applyFont="1" applyAlignment="1"/>
    <xf numFmtId="0" fontId="8" fillId="0" borderId="0" xfId="0" applyFont="1" applyAlignment="1" applyProtection="1"/>
    <xf numFmtId="49" fontId="7" fillId="0" borderId="0" xfId="0" applyNumberFormat="1" applyFont="1" applyAlignment="1" applyProtection="1"/>
    <xf numFmtId="49" fontId="7" fillId="0" borderId="0" xfId="0" applyNumberFormat="1" applyFont="1" applyFill="1" applyBorder="1" applyAlignment="1" applyProtection="1">
      <protection locked="0"/>
    </xf>
    <xf numFmtId="0" fontId="1" fillId="0" borderId="0" xfId="0" applyFont="1" applyBorder="1" applyAlignment="1" applyProtection="1">
      <protection locked="0"/>
    </xf>
    <xf numFmtId="49" fontId="1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/>
    <xf numFmtId="0" fontId="7" fillId="0" borderId="0" xfId="0" applyFont="1" applyFill="1" applyBorder="1" applyAlignment="1"/>
    <xf numFmtId="0" fontId="14" fillId="0" borderId="0" xfId="0" applyFont="1" applyBorder="1" applyAlignment="1">
      <alignment horizontal="left"/>
    </xf>
    <xf numFmtId="49" fontId="7" fillId="0" borderId="0" xfId="0" applyNumberFormat="1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49" fontId="7" fillId="0" borderId="0" xfId="0" applyNumberFormat="1" applyFont="1" applyBorder="1" applyAlignment="1" applyProtection="1">
      <alignment horizontal="left"/>
      <protection locked="0"/>
    </xf>
    <xf numFmtId="49" fontId="1" fillId="0" borderId="0" xfId="0" applyNumberFormat="1" applyFont="1" applyBorder="1" applyAlignment="1" applyProtection="1">
      <alignment horizontal="left"/>
      <protection locked="0"/>
    </xf>
    <xf numFmtId="49" fontId="7" fillId="0" borderId="0" xfId="0" applyNumberFormat="1" applyFont="1" applyBorder="1" applyAlignment="1">
      <alignment horizontal="left"/>
    </xf>
    <xf numFmtId="49" fontId="7" fillId="0" borderId="0" xfId="0" applyNumberFormat="1" applyFont="1" applyAlignment="1" applyProtection="1">
      <alignment horizontal="left"/>
      <protection locked="0"/>
    </xf>
    <xf numFmtId="49" fontId="8" fillId="0" borderId="0" xfId="0" applyNumberFormat="1" applyFont="1" applyAlignment="1" applyProtection="1"/>
    <xf numFmtId="49" fontId="7" fillId="0" borderId="0" xfId="0" applyNumberFormat="1" applyFont="1" applyBorder="1" applyAlignment="1" applyProtection="1">
      <alignment vertical="center"/>
      <protection locked="0"/>
    </xf>
    <xf numFmtId="49" fontId="16" fillId="0" borderId="0" xfId="0" applyNumberFormat="1" applyFont="1" applyAlignment="1"/>
    <xf numFmtId="0" fontId="19" fillId="0" borderId="0" xfId="0" applyFont="1" applyBorder="1" applyAlignment="1">
      <alignment vertical="center"/>
    </xf>
    <xf numFmtId="49" fontId="19" fillId="0" borderId="0" xfId="0" applyNumberFormat="1" applyFont="1" applyBorder="1" applyAlignment="1">
      <alignment vertical="center"/>
    </xf>
    <xf numFmtId="49" fontId="19" fillId="0" borderId="0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49" fontId="7" fillId="0" borderId="0" xfId="0" applyNumberFormat="1" applyFont="1" applyAlignment="1">
      <alignment horizontal="left"/>
    </xf>
    <xf numFmtId="49" fontId="1" fillId="0" borderId="0" xfId="0" applyNumberFormat="1" applyFont="1" applyAlignment="1"/>
    <xf numFmtId="49" fontId="7" fillId="0" borderId="0" xfId="0" applyNumberFormat="1" applyFont="1" applyAlignment="1">
      <alignment vertical="center"/>
    </xf>
    <xf numFmtId="49" fontId="7" fillId="0" borderId="0" xfId="0" applyNumberFormat="1" applyFont="1" applyBorder="1" applyAlignment="1">
      <alignment vertical="center"/>
    </xf>
    <xf numFmtId="0" fontId="0" fillId="0" borderId="0" xfId="0" applyNumberFormat="1" applyAlignment="1" applyProtection="1">
      <protection locked="0"/>
    </xf>
    <xf numFmtId="0" fontId="0" fillId="0" borderId="9" xfId="0" applyFill="1" applyBorder="1" applyAlignment="1" applyProtection="1">
      <alignment horizontal="left"/>
      <protection locked="0"/>
    </xf>
    <xf numFmtId="0" fontId="0" fillId="0" borderId="9" xfId="0" applyNumberFormat="1" applyFill="1" applyBorder="1" applyAlignment="1" applyProtection="1">
      <protection locked="0"/>
    </xf>
    <xf numFmtId="0" fontId="0" fillId="2" borderId="0" xfId="0" applyFill="1" applyAlignment="1" applyProtection="1">
      <alignment horizontal="left"/>
      <protection locked="0"/>
    </xf>
    <xf numFmtId="0" fontId="0" fillId="2" borderId="0" xfId="0" applyNumberFormat="1" applyFill="1" applyAlignment="1" applyProtection="1"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NumberFormat="1" applyFill="1" applyAlignment="1" applyProtection="1">
      <protection locked="0"/>
    </xf>
    <xf numFmtId="0" fontId="7" fillId="0" borderId="2" xfId="0" applyFont="1" applyBorder="1" applyAlignment="1" applyProtection="1">
      <alignment horizontal="left" vertical="center"/>
      <protection locked="0"/>
    </xf>
    <xf numFmtId="0" fontId="7" fillId="0" borderId="4" xfId="0" applyFont="1" applyBorder="1" applyAlignment="1" applyProtection="1">
      <alignment horizontal="left" vertical="center"/>
      <protection locked="0"/>
    </xf>
    <xf numFmtId="0" fontId="7" fillId="0" borderId="3" xfId="0" applyFont="1" applyBorder="1" applyAlignment="1" applyProtection="1">
      <alignment horizontal="left" vertical="center"/>
      <protection locked="0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50"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/>
    </dxf>
    <dxf>
      <alignment indent="0" readingOrder="0"/>
    </dxf>
    <dxf>
      <alignment indent="0" readingOrder="0"/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protection locked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12</xdr:row>
          <xdr:rowOff>0</xdr:rowOff>
        </xdr:from>
        <xdr:to>
          <xdr:col>3</xdr:col>
          <xdr:colOff>1104900</xdr:colOff>
          <xdr:row>13</xdr:row>
          <xdr:rowOff>219075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Xuat DATAPAX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</xdr:row>
          <xdr:rowOff>19050</xdr:rowOff>
        </xdr:from>
        <xdr:to>
          <xdr:col>1</xdr:col>
          <xdr:colOff>0</xdr:colOff>
          <xdr:row>20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Duong dan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15</xdr:row>
          <xdr:rowOff>19050</xdr:rowOff>
        </xdr:from>
        <xdr:to>
          <xdr:col>3</xdr:col>
          <xdr:colOff>1104900</xdr:colOff>
          <xdr:row>17</xdr:row>
          <xdr:rowOff>19050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Xoa datapax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24</xdr:row>
          <xdr:rowOff>38100</xdr:rowOff>
        </xdr:from>
        <xdr:to>
          <xdr:col>1</xdr:col>
          <xdr:colOff>9525</xdr:colOff>
          <xdr:row>25</xdr:row>
          <xdr:rowOff>19050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DATABASE01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25</xdr:row>
          <xdr:rowOff>0</xdr:rowOff>
        </xdr:from>
        <xdr:to>
          <xdr:col>1</xdr:col>
          <xdr:colOff>9525</xdr:colOff>
          <xdr:row>26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DATABASE02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25</xdr:row>
          <xdr:rowOff>209550</xdr:rowOff>
        </xdr:from>
        <xdr:to>
          <xdr:col>1</xdr:col>
          <xdr:colOff>9525</xdr:colOff>
          <xdr:row>27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DATABASE03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26</xdr:row>
          <xdr:rowOff>209550</xdr:rowOff>
        </xdr:from>
        <xdr:to>
          <xdr:col>1</xdr:col>
          <xdr:colOff>9525</xdr:colOff>
          <xdr:row>28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DATABASE04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27</xdr:row>
          <xdr:rowOff>209550</xdr:rowOff>
        </xdr:from>
        <xdr:to>
          <xdr:col>1</xdr:col>
          <xdr:colOff>9525</xdr:colOff>
          <xdr:row>29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DATABASE05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28</xdr:row>
          <xdr:rowOff>209550</xdr:rowOff>
        </xdr:from>
        <xdr:to>
          <xdr:col>1</xdr:col>
          <xdr:colOff>9525</xdr:colOff>
          <xdr:row>29</xdr:row>
          <xdr:rowOff>209550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DATABASE06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12</xdr:row>
          <xdr:rowOff>0</xdr:rowOff>
        </xdr:from>
        <xdr:to>
          <xdr:col>2</xdr:col>
          <xdr:colOff>9525</xdr:colOff>
          <xdr:row>13</xdr:row>
          <xdr:rowOff>219075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Bắt đầu chạy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19050</xdr:rowOff>
        </xdr:from>
        <xdr:to>
          <xdr:col>1</xdr:col>
          <xdr:colOff>0</xdr:colOff>
          <xdr:row>32</xdr:row>
          <xdr:rowOff>19050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123825</xdr:colOff>
          <xdr:row>115</xdr:row>
          <xdr:rowOff>28575</xdr:rowOff>
        </xdr:from>
        <xdr:to>
          <xdr:col>10</xdr:col>
          <xdr:colOff>876300</xdr:colOff>
          <xdr:row>117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Lay du lieu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Lay du lieu tu SACO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123825</xdr:colOff>
          <xdr:row>118</xdr:row>
          <xdr:rowOff>95250</xdr:rowOff>
        </xdr:from>
        <xdr:to>
          <xdr:col>10</xdr:col>
          <xdr:colOff>876300</xdr:colOff>
          <xdr:row>120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Xóa du lieu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 SAI GON 4" refreshedDate="44225.078692013885" createdVersion="4" refreshedVersion="4" minRefreshableVersion="3" recordCount="176" xr:uid="{00000000-000A-0000-FFFF-FFFF00000000}">
  <cacheSource type="worksheet">
    <worksheetSource ref="A1:H1048576" sheet="DATA"/>
  </cacheSource>
  <cacheFields count="8">
    <cacheField name="HOTEN" numFmtId="0">
      <sharedItems containsBlank="1"/>
    </cacheField>
    <cacheField name="HOCHIEU" numFmtId="49">
      <sharedItems containsBlank="1"/>
    </cacheField>
    <cacheField name="MACB" numFmtId="0">
      <sharedItems containsBlank="1" containsMixedTypes="1" containsNumber="1" containsInteger="1" minValue="1" maxValue="1" count="3">
        <s v="K6816"/>
        <m/>
        <n v="1" u="1"/>
      </sharedItems>
    </cacheField>
    <cacheField name="XEBG" numFmtId="0">
      <sharedItems containsBlank="1" count="15">
        <s v="SACO"/>
        <m/>
        <s v="TT KDYTQT Khánh Hòa" u="1"/>
        <s v="CDC LONG AN" u="1"/>
        <s v="CDC Bình Phước" u="1"/>
        <s v="SYT Long An" u="1"/>
        <s v="CDC Bình Dương" u="1"/>
        <s v="CDC Bà Rịa - Vũng Tàu" u="1"/>
        <s v="CDC TÂY NINH" u="1"/>
        <s v="BV 175" u="1"/>
        <s v="CDC Đồng Nai" u="1"/>
        <s v="SYT Tây Ninh" u="1"/>
        <s v="TTYTDP Bà Rịa - Vũng Tàu" u="1"/>
        <s v="TTYT TAN BINH" u="1"/>
        <s v="TTYT TÂN BÌNH" u="1"/>
      </sharedItems>
    </cacheField>
    <cacheField name="LUOTXE" numFmtId="0">
      <sharedItems containsString="0" containsBlank="1" containsNumber="1" containsInteger="1" minValue="1" maxValue="99" count="100">
        <n v="1"/>
        <n v="2"/>
        <n v="3"/>
        <n v="4"/>
        <m/>
        <n v="96" u="1"/>
        <n v="57" u="1"/>
        <n v="34" u="1"/>
        <n v="75" u="1"/>
        <n v="13" u="1"/>
        <n v="59" u="1"/>
        <n v="36" u="1"/>
        <n v="79" u="1"/>
        <n v="61" u="1"/>
        <n v="38" u="1"/>
        <n v="83" u="1"/>
        <n v="5" u="1"/>
        <n v="14" u="1"/>
        <n v="63" u="1"/>
        <n v="40" u="1"/>
        <n v="87" u="1"/>
        <n v="66" u="1"/>
        <n v="42" u="1"/>
        <n v="91" u="1"/>
        <n v="15" u="1"/>
        <n v="70" u="1"/>
        <n v="44" u="1"/>
        <n v="95" u="1"/>
        <n v="74" u="1"/>
        <n v="46" u="1"/>
        <n v="99" u="1"/>
        <n v="6" u="1"/>
        <n v="16" u="1"/>
        <n v="78" u="1"/>
        <n v="48" u="1"/>
        <n v="17" u="1"/>
        <n v="82" u="1"/>
        <n v="50" u="1"/>
        <n v="18" u="1"/>
        <n v="86" u="1"/>
        <n v="52" u="1"/>
        <n v="65" u="1"/>
        <n v="19" u="1"/>
        <n v="90" u="1"/>
        <n v="54" u="1"/>
        <n v="7" u="1"/>
        <n v="69" u="1"/>
        <n v="20" u="1"/>
        <n v="94" u="1"/>
        <n v="56" u="1"/>
        <n v="33" u="1"/>
        <n v="73" u="1"/>
        <n v="21" u="1"/>
        <n v="98" u="1"/>
        <n v="58" u="1"/>
        <n v="35" u="1"/>
        <n v="77" u="1"/>
        <n v="22" u="1"/>
        <n v="60" u="1"/>
        <n v="37" u="1"/>
        <n v="81" u="1"/>
        <n v="23" u="1"/>
        <n v="62" u="1"/>
        <n v="8" u="1"/>
        <n v="39" u="1"/>
        <n v="85" u="1"/>
        <n v="24" u="1"/>
        <n v="64" u="1"/>
        <n v="41" u="1"/>
        <n v="89" u="1"/>
        <n v="25" u="1"/>
        <n v="68" u="1"/>
        <n v="9" u="1"/>
        <n v="43" u="1"/>
        <n v="93" u="1"/>
        <n v="26" u="1"/>
        <n v="72" u="1"/>
        <n v="45" u="1"/>
        <n v="97" u="1"/>
        <n v="27" u="1"/>
        <n v="76" u="1"/>
        <n v="10" u="1"/>
        <n v="47" u="1"/>
        <n v="28" u="1"/>
        <n v="80" u="1"/>
        <n v="49" u="1"/>
        <n v="29" u="1"/>
        <n v="84" u="1"/>
        <n v="11" u="1"/>
        <n v="51" u="1"/>
        <n v="30" u="1"/>
        <n v="88" u="1"/>
        <n v="53" u="1"/>
        <n v="31" u="1"/>
        <n v="67" u="1"/>
        <n v="92" u="1"/>
        <n v="12" u="1"/>
        <n v="55" u="1"/>
        <n v="32" u="1"/>
        <n v="71" u="1"/>
      </sharedItems>
    </cacheField>
    <cacheField name="LOAICL" numFmtId="0">
      <sharedItems containsBlank="1"/>
    </cacheField>
    <cacheField name="NOICL" numFmtId="0">
      <sharedItems containsBlank="1"/>
    </cacheField>
    <cacheField name="UPDATE" numFmtId="0">
      <sharedItems containsBlank="1" count="4">
        <s v="printed"/>
        <m/>
        <s v="not yet"/>
        <s v="checke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6">
  <r>
    <s v="LUO HUODONG"/>
    <s v="EA8305335"/>
    <x v="0"/>
    <x v="0"/>
    <x v="0"/>
    <s v="KS"/>
    <s v="Cititel Parkview - Q1"/>
    <x v="0"/>
  </r>
  <r>
    <s v="CHANG SHUO HSIEN"/>
    <s v="AM017498"/>
    <x v="0"/>
    <x v="0"/>
    <x v="1"/>
    <s v="KS"/>
    <s v="Ibis Sai Gon South - Q7"/>
    <x v="0"/>
  </r>
  <r>
    <s v="LEE TAEKYUNG"/>
    <s v="M28808793"/>
    <x v="0"/>
    <x v="0"/>
    <x v="2"/>
    <s v="KS"/>
    <s v="Blue Diamond TVL - Q1"/>
    <x v="0"/>
  </r>
  <r>
    <s v="SEO YUN KYUNG"/>
    <s v="M34910876"/>
    <x v="0"/>
    <x v="0"/>
    <x v="2"/>
    <s v="KS"/>
    <s v="Blue Diamond TVL - Q1"/>
    <x v="0"/>
  </r>
  <r>
    <s v="KENNEDY CRUZ"/>
    <s v="P6633825A"/>
    <x v="0"/>
    <x v="0"/>
    <x v="3"/>
    <s v="KS"/>
    <s v="Đệ Nhất - TB"/>
    <x v="0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1"/>
  </r>
  <r>
    <m/>
    <m/>
    <x v="1"/>
    <x v="1"/>
    <x v="4"/>
    <m/>
    <m/>
    <x v="2"/>
  </r>
  <r>
    <m/>
    <m/>
    <x v="1"/>
    <x v="1"/>
    <x v="4"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data" cacheId="2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M1:N13" firstHeaderRow="1" firstDataRow="1" firstDataCol="1"/>
  <pivotFields count="8">
    <pivotField showAll="0"/>
    <pivotField showAll="0"/>
    <pivotField axis="axisRow" showAll="0">
      <items count="4">
        <item sd="0" x="1"/>
        <item m="1" x="2"/>
        <item x="0"/>
        <item t="default"/>
      </items>
    </pivotField>
    <pivotField axis="axisRow" showAll="0">
      <items count="16">
        <item x="0"/>
        <item sd="0" x="1"/>
        <item m="1" x="10"/>
        <item m="1" x="3"/>
        <item m="1" x="14"/>
        <item m="1" x="4"/>
        <item m="1" x="6"/>
        <item m="1" x="9"/>
        <item m="1" x="13"/>
        <item m="1" x="8"/>
        <item m="1" x="7"/>
        <item m="1" x="12"/>
        <item m="1" x="11"/>
        <item m="1" x="5"/>
        <item m="1" x="2"/>
        <item t="default" sd="0"/>
      </items>
    </pivotField>
    <pivotField axis="axisRow" dataField="1" showAll="0">
      <items count="101">
        <item x="0"/>
        <item x="1"/>
        <item x="2"/>
        <item x="3"/>
        <item m="1" x="16"/>
        <item m="1" x="31"/>
        <item x="4"/>
        <item m="1" x="45"/>
        <item m="1" x="63"/>
        <item m="1" x="72"/>
        <item m="1" x="81"/>
        <item m="1" x="88"/>
        <item m="1" x="96"/>
        <item m="1" x="9"/>
        <item m="1" x="17"/>
        <item m="1" x="24"/>
        <item m="1" x="32"/>
        <item m="1" x="35"/>
        <item m="1" x="38"/>
        <item m="1" x="42"/>
        <item m="1" x="47"/>
        <item m="1" x="52"/>
        <item m="1" x="57"/>
        <item m="1" x="61"/>
        <item m="1" x="66"/>
        <item m="1" x="70"/>
        <item m="1" x="75"/>
        <item m="1" x="79"/>
        <item m="1" x="83"/>
        <item m="1" x="86"/>
        <item m="1" x="90"/>
        <item m="1" x="93"/>
        <item m="1" x="98"/>
        <item m="1" x="50"/>
        <item m="1" x="7"/>
        <item m="1" x="55"/>
        <item m="1" x="11"/>
        <item m="1" x="59"/>
        <item m="1" x="14"/>
        <item m="1" x="64"/>
        <item m="1" x="19"/>
        <item m="1" x="8"/>
        <item m="1" x="84"/>
        <item m="1" x="54"/>
        <item m="1" x="80"/>
        <item m="1" x="87"/>
        <item m="1" x="46"/>
        <item m="1" x="62"/>
        <item m="1" x="56"/>
        <item m="1" x="78"/>
        <item m="1" x="74"/>
        <item m="1" x="68"/>
        <item m="1" x="69"/>
        <item m="1" x="22"/>
        <item m="1" x="73"/>
        <item m="1" x="21"/>
        <item m="1" x="95"/>
        <item m="1" x="36"/>
        <item m="1" x="26"/>
        <item m="1" x="77"/>
        <item m="1" x="29"/>
        <item m="1" x="82"/>
        <item m="1" x="34"/>
        <item m="1" x="41"/>
        <item m="1" x="94"/>
        <item m="1" x="85"/>
        <item m="1" x="65"/>
        <item m="1" x="33"/>
        <item m="1" x="37"/>
        <item m="1" x="89"/>
        <item m="1" x="25"/>
        <item m="1" x="40"/>
        <item m="1" x="76"/>
        <item m="1" x="53"/>
        <item m="1" x="30"/>
        <item m="1" x="92"/>
        <item m="1" x="67"/>
        <item m="1" x="13"/>
        <item m="1" x="18"/>
        <item m="1" x="44"/>
        <item m="1" x="97"/>
        <item m="1" x="49"/>
        <item m="1" x="51"/>
        <item m="1" x="10"/>
        <item m="1" x="58"/>
        <item m="1" x="6"/>
        <item m="1" x="99"/>
        <item m="1" x="71"/>
        <item m="1" x="60"/>
        <item m="1" x="12"/>
        <item m="1" x="15"/>
        <item m="1" x="20"/>
        <item m="1" x="23"/>
        <item m="1" x="43"/>
        <item m="1" x="5"/>
        <item m="1" x="91"/>
        <item m="1" x="28"/>
        <item m="1" x="39"/>
        <item m="1" x="48"/>
        <item m="1" x="27"/>
        <item t="default"/>
      </items>
    </pivotField>
    <pivotField showAll="0"/>
    <pivotField showAll="0"/>
    <pivotField axis="axisRow" showAll="0" defaultSubtotal="0">
      <items count="4">
        <item m="1" x="3"/>
        <item x="2"/>
        <item x="1"/>
        <item x="0"/>
      </items>
    </pivotField>
  </pivotFields>
  <rowFields count="4">
    <field x="2"/>
    <field x="3"/>
    <field x="4"/>
    <field x="7"/>
  </rowFields>
  <rowItems count="12">
    <i>
      <x/>
    </i>
    <i>
      <x v="2"/>
    </i>
    <i r="1">
      <x/>
    </i>
    <i r="2">
      <x/>
    </i>
    <i r="3">
      <x v="3"/>
    </i>
    <i r="2">
      <x v="1"/>
    </i>
    <i r="3">
      <x v="3"/>
    </i>
    <i r="2">
      <x v="2"/>
    </i>
    <i r="3">
      <x v="3"/>
    </i>
    <i r="2">
      <x v="3"/>
    </i>
    <i r="3">
      <x v="3"/>
    </i>
    <i t="grand">
      <x/>
    </i>
  </rowItems>
  <colItems count="1">
    <i/>
  </colItems>
  <dataFields count="1">
    <dataField name="Count of LUOTXE" fld="4" subtotal="count" baseField="0" baseItem="0"/>
  </dataFields>
  <formats count="33">
    <format dxfId="32">
      <pivotArea type="all" dataOnly="0" outline="0" fieldPosition="0"/>
    </format>
    <format dxfId="31">
      <pivotArea dataOnly="0" outline="0" fieldPosition="0">
        <references count="1">
          <reference field="4" count="0"/>
        </references>
      </pivotArea>
    </format>
    <format dxfId="30">
      <pivotArea dataOnly="0" fieldPosition="0">
        <references count="1">
          <reference field="4" count="1">
            <x v="0"/>
          </reference>
        </references>
      </pivotArea>
    </format>
    <format dxfId="29">
      <pivotArea dataOnly="0" fieldPosition="0">
        <references count="1">
          <reference field="4" count="1">
            <x v="2"/>
          </reference>
        </references>
      </pivotArea>
    </format>
    <format dxfId="28">
      <pivotArea dataOnly="0" fieldPosition="0">
        <references count="1">
          <reference field="4" count="1">
            <x v="3"/>
          </reference>
        </references>
      </pivotArea>
    </format>
    <format dxfId="27">
      <pivotArea dataOnly="0" fieldPosition="0">
        <references count="1">
          <reference field="4" count="1">
            <x v="4"/>
          </reference>
        </references>
      </pivotArea>
    </format>
    <format dxfId="26">
      <pivotArea dataOnly="0" fieldPosition="0">
        <references count="1">
          <reference field="4" count="1">
            <x v="5"/>
          </reference>
        </references>
      </pivotArea>
    </format>
    <format dxfId="25">
      <pivotArea dataOnly="0" outline="0" fieldPosition="0">
        <references count="1">
          <reference field="4" count="1">
            <x v="0"/>
          </reference>
        </references>
      </pivotArea>
    </format>
    <format dxfId="24">
      <pivotArea dataOnly="0" fieldPosition="0">
        <references count="1">
          <reference field="4" count="1">
            <x v="0"/>
          </reference>
        </references>
      </pivotArea>
    </format>
    <format dxfId="23">
      <pivotArea dataOnly="0" outline="0" fieldPosition="0">
        <references count="1">
          <reference field="4" count="1">
            <x v="1"/>
          </reference>
        </references>
      </pivotArea>
    </format>
    <format dxfId="22">
      <pivotArea dataOnly="0" fieldPosition="0">
        <references count="1">
          <reference field="4" count="1">
            <x v="1"/>
          </reference>
        </references>
      </pivotArea>
    </format>
    <format dxfId="21">
      <pivotArea dataOnly="0" outline="0" fieldPosition="0">
        <references count="1">
          <reference field="4" count="1">
            <x v="0"/>
          </reference>
        </references>
      </pivotArea>
    </format>
    <format dxfId="20">
      <pivotArea dataOnly="0" fieldPosition="0">
        <references count="1">
          <reference field="4" count="1">
            <x v="0"/>
          </reference>
        </references>
      </pivotArea>
    </format>
    <format dxfId="19">
      <pivotArea collapsedLevelsAreSubtotals="1" fieldPosition="0">
        <references count="2">
          <reference field="2" count="1" selected="0">
            <x v="0"/>
          </reference>
          <reference field="3" count="1">
            <x v="1"/>
          </reference>
        </references>
      </pivotArea>
    </format>
    <format dxfId="18">
      <pivotArea dataOnly="0" labelOnly="1" fieldPosition="0">
        <references count="2">
          <reference field="2" count="1" selected="0">
            <x v="0"/>
          </reference>
          <reference field="3" count="1">
            <x v="1"/>
          </reference>
        </references>
      </pivotArea>
    </format>
    <format dxfId="17">
      <pivotArea collapsedLevelsAreSubtotals="1" fieldPosition="0">
        <references count="2">
          <reference field="2" count="1" selected="0">
            <x v="2"/>
          </reference>
          <reference field="3" count="1">
            <x v="0"/>
          </reference>
        </references>
      </pivotArea>
    </format>
    <format dxfId="16">
      <pivotArea dataOnly="0" labelOnly="1" fieldPosition="0">
        <references count="2">
          <reference field="2" count="1" selected="0">
            <x v="2"/>
          </reference>
          <reference field="3" count="1">
            <x v="0"/>
          </reference>
        </references>
      </pivotArea>
    </format>
    <format dxfId="15">
      <pivotArea collapsedLevelsAreSubtotals="1" fieldPosition="0">
        <references count="3">
          <reference field="2" count="1" selected="0">
            <x v="2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14">
      <pivotArea dataOnly="0" labelOnly="1" fieldPosition="0">
        <references count="3">
          <reference field="2" count="1" selected="0">
            <x v="2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13">
      <pivotArea collapsedLevelsAreSubtotals="1" fieldPosition="0">
        <references count="4">
          <reference field="2" count="1" selected="0">
            <x v="2"/>
          </reference>
          <reference field="3" count="1" selected="0">
            <x v="0"/>
          </reference>
          <reference field="4" count="1" selected="0">
            <x v="0"/>
          </reference>
          <reference field="7" count="1">
            <x v="3"/>
          </reference>
        </references>
      </pivotArea>
    </format>
    <format dxfId="12">
      <pivotArea dataOnly="0" labelOnly="1" fieldPosition="0">
        <references count="4">
          <reference field="2" count="1" selected="0">
            <x v="2"/>
          </reference>
          <reference field="3" count="1" selected="0">
            <x v="0"/>
          </reference>
          <reference field="4" count="1" selected="0">
            <x v="0"/>
          </reference>
          <reference field="7" count="1">
            <x v="3"/>
          </reference>
        </references>
      </pivotArea>
    </format>
    <format dxfId="11">
      <pivotArea collapsedLevelsAreSubtotals="1" fieldPosition="0">
        <references count="3">
          <reference field="2" count="1" selected="0">
            <x v="2"/>
          </reference>
          <reference field="3" count="1" selected="0">
            <x v="0"/>
          </reference>
          <reference field="4" count="1">
            <x v="1"/>
          </reference>
        </references>
      </pivotArea>
    </format>
    <format dxfId="10">
      <pivotArea dataOnly="0" labelOnly="1" fieldPosition="0">
        <references count="3">
          <reference field="2" count="1" selected="0">
            <x v="2"/>
          </reference>
          <reference field="3" count="1" selected="0">
            <x v="0"/>
          </reference>
          <reference field="4" count="1">
            <x v="1"/>
          </reference>
        </references>
      </pivotArea>
    </format>
    <format dxfId="9">
      <pivotArea collapsedLevelsAreSubtotals="1" fieldPosition="0">
        <references count="4">
          <reference field="2" count="1" selected="0">
            <x v="2"/>
          </reference>
          <reference field="3" count="1" selected="0">
            <x v="0"/>
          </reference>
          <reference field="4" count="1" selected="0">
            <x v="1"/>
          </reference>
          <reference field="7" count="1">
            <x v="3"/>
          </reference>
        </references>
      </pivotArea>
    </format>
    <format dxfId="8">
      <pivotArea dataOnly="0" labelOnly="1" fieldPosition="0">
        <references count="4">
          <reference field="2" count="1" selected="0">
            <x v="2"/>
          </reference>
          <reference field="3" count="1" selected="0">
            <x v="0"/>
          </reference>
          <reference field="4" count="1" selected="0">
            <x v="1"/>
          </reference>
          <reference field="7" count="1">
            <x v="3"/>
          </reference>
        </references>
      </pivotArea>
    </format>
    <format dxfId="7">
      <pivotArea collapsedLevelsAreSubtotals="1" fieldPosition="0">
        <references count="3">
          <reference field="2" count="1" selected="0">
            <x v="2"/>
          </reference>
          <reference field="3" count="1" selected="0">
            <x v="0"/>
          </reference>
          <reference field="4" count="1">
            <x v="2"/>
          </reference>
        </references>
      </pivotArea>
    </format>
    <format dxfId="6">
      <pivotArea dataOnly="0" labelOnly="1" fieldPosition="0">
        <references count="3">
          <reference field="2" count="1" selected="0">
            <x v="2"/>
          </reference>
          <reference field="3" count="1" selected="0">
            <x v="0"/>
          </reference>
          <reference field="4" count="1">
            <x v="2"/>
          </reference>
        </references>
      </pivotArea>
    </format>
    <format dxfId="5">
      <pivotArea collapsedLevelsAreSubtotals="1" fieldPosition="0">
        <references count="4"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7" count="1">
            <x v="3"/>
          </reference>
        </references>
      </pivotArea>
    </format>
    <format dxfId="4">
      <pivotArea dataOnly="0" labelOnly="1" fieldPosition="0">
        <references count="4"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7" count="1">
            <x v="3"/>
          </reference>
        </references>
      </pivotArea>
    </format>
    <format dxfId="3">
      <pivotArea collapsedLevelsAreSubtotals="1" fieldPosition="0">
        <references count="3">
          <reference field="2" count="1" selected="0">
            <x v="2"/>
          </reference>
          <reference field="3" count="1" selected="0">
            <x v="0"/>
          </reference>
          <reference field="4" count="1">
            <x v="3"/>
          </reference>
        </references>
      </pivotArea>
    </format>
    <format dxfId="2">
      <pivotArea dataOnly="0" labelOnly="1" fieldPosition="0">
        <references count="3">
          <reference field="2" count="1" selected="0">
            <x v="2"/>
          </reference>
          <reference field="3" count="1" selected="0">
            <x v="0"/>
          </reference>
          <reference field="4" count="1">
            <x v="3"/>
          </reference>
        </references>
      </pivotArea>
    </format>
    <format dxfId="1">
      <pivotArea collapsedLevelsAreSubtotals="1" fieldPosition="0">
        <references count="4">
          <reference field="2" count="1" selected="0">
            <x v="2"/>
          </reference>
          <reference field="3" count="1" selected="0">
            <x v="0"/>
          </reference>
          <reference field="4" count="1" selected="0">
            <x v="3"/>
          </reference>
          <reference field="7" count="1">
            <x v="3"/>
          </reference>
        </references>
      </pivotArea>
    </format>
    <format dxfId="0">
      <pivotArea dataOnly="0" labelOnly="1" fieldPosition="0">
        <references count="4">
          <reference field="2" count="1" selected="0">
            <x v="2"/>
          </reference>
          <reference field="3" count="1" selected="0">
            <x v="0"/>
          </reference>
          <reference field="4" count="1" selected="0">
            <x v="3"/>
          </reference>
          <reference field="7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J1:Q121" totalsRowShown="0" headerRowDxfId="47" dataDxfId="45" headerRowBorderDxfId="46" tableBorderDxfId="44" totalsRowBorderDxfId="43">
  <tableColumns count="8">
    <tableColumn id="1" xr3:uid="{00000000-0010-0000-0000-000001000000}" name="STT" dataDxfId="42"/>
    <tableColumn id="2" xr3:uid="{00000000-0010-0000-0000-000002000000}" name="Họ tên" dataDxfId="41"/>
    <tableColumn id="3" xr3:uid="{00000000-0010-0000-0000-000003000000}" name="Năm sinh" dataDxfId="40"/>
    <tableColumn id="4" xr3:uid="{00000000-0010-0000-0000-000004000000}" name="Giới tính" dataDxfId="39"/>
    <tableColumn id="5" xr3:uid="{00000000-0010-0000-0000-000005000000}" name="Quốc tịch" dataDxfId="38"/>
    <tableColumn id="6" xr3:uid="{00000000-0010-0000-0000-000006000000}" name="Hộ chiếu" dataDxfId="37"/>
    <tableColumn id="7" xr3:uid="{00000000-0010-0000-0000-000007000000}" name="Mã CB" dataDxfId="36"/>
    <tableColumn id="8" xr3:uid="{00000000-0010-0000-0000-000008000000}" name="Đến từ" dataDxfId="3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51"/>
  <sheetViews>
    <sheetView tabSelected="1" zoomScale="80" zoomScaleNormal="80" workbookViewId="0">
      <selection activeCell="S6" sqref="S6"/>
    </sheetView>
  </sheetViews>
  <sheetFormatPr defaultColWidth="8.85546875" defaultRowHeight="18.75" x14ac:dyDescent="0.3"/>
  <cols>
    <col min="1" max="1" width="17.85546875" style="14" customWidth="1"/>
    <col min="2" max="2" width="32.7109375" style="14" customWidth="1"/>
    <col min="3" max="3" width="14.42578125" style="14" bestFit="1" customWidth="1"/>
    <col min="4" max="4" width="35.5703125" style="14" customWidth="1"/>
    <col min="5" max="5" width="5.7109375" style="14" hidden="1" customWidth="1"/>
    <col min="6" max="6" width="5" style="14" hidden="1" customWidth="1"/>
    <col min="7" max="7" width="8" style="14" customWidth="1"/>
    <col min="8" max="8" width="8.85546875" style="14" hidden="1" customWidth="1"/>
    <col min="9" max="9" width="4.7109375" style="14" hidden="1" customWidth="1"/>
    <col min="10" max="10" width="5.85546875" style="14" hidden="1" customWidth="1"/>
    <col min="11" max="11" width="20" style="14" hidden="1" customWidth="1"/>
    <col min="12" max="17" width="10.85546875" style="14" hidden="1" customWidth="1"/>
    <col min="18" max="18" width="8.85546875" style="14" hidden="1" customWidth="1"/>
    <col min="19" max="20" width="8.85546875" style="14"/>
    <col min="21" max="21" width="32.28515625" style="14" bestFit="1" customWidth="1"/>
    <col min="22" max="22" width="47.28515625" style="14" bestFit="1" customWidth="1"/>
    <col min="23" max="23" width="50" style="14" hidden="1" customWidth="1"/>
    <col min="24" max="24" width="11.28515625" style="14" bestFit="1" customWidth="1"/>
    <col min="25" max="25" width="17.85546875" style="14" customWidth="1"/>
    <col min="26" max="26" width="15.7109375" style="14" customWidth="1"/>
    <col min="27" max="27" width="18.85546875" style="14" customWidth="1"/>
    <col min="28" max="28" width="16.140625" style="14" customWidth="1"/>
    <col min="29" max="29" width="10" style="14" customWidth="1"/>
    <col min="30" max="33" width="10" style="14" bestFit="1" customWidth="1"/>
    <col min="34" max="34" width="9.140625" style="14" bestFit="1" customWidth="1"/>
    <col min="35" max="36" width="9.7109375" style="14" bestFit="1" customWidth="1"/>
    <col min="37" max="39" width="10.7109375" style="14" bestFit="1" customWidth="1"/>
    <col min="40" max="40" width="9.28515625" style="14" bestFit="1" customWidth="1"/>
    <col min="41" max="41" width="10.140625" style="14" bestFit="1" customWidth="1"/>
    <col min="42" max="42" width="7.140625" style="14" customWidth="1"/>
    <col min="43" max="43" width="11" style="14" customWidth="1"/>
    <col min="44" max="50" width="10" style="14" bestFit="1" customWidth="1"/>
    <col min="51" max="51" width="9.140625" style="14" bestFit="1" customWidth="1"/>
    <col min="52" max="53" width="9.7109375" style="14" bestFit="1" customWidth="1"/>
    <col min="54" max="56" width="10.7109375" style="14" bestFit="1" customWidth="1"/>
    <col min="57" max="57" width="9.28515625" style="14" bestFit="1" customWidth="1"/>
    <col min="58" max="58" width="10.140625" style="14" bestFit="1" customWidth="1"/>
    <col min="59" max="59" width="7.140625" style="14" customWidth="1"/>
    <col min="60" max="60" width="14.5703125" style="14" bestFit="1" customWidth="1"/>
    <col min="61" max="67" width="10" style="14" bestFit="1" customWidth="1"/>
    <col min="68" max="68" width="9.140625" style="14" bestFit="1" customWidth="1"/>
    <col min="69" max="70" width="9.7109375" style="14" bestFit="1" customWidth="1"/>
    <col min="71" max="73" width="10.7109375" style="14" bestFit="1" customWidth="1"/>
    <col min="74" max="74" width="9.28515625" style="14" bestFit="1" customWidth="1"/>
    <col min="75" max="75" width="10.140625" style="14" bestFit="1" customWidth="1"/>
    <col min="76" max="76" width="7.140625" style="14" customWidth="1"/>
    <col min="77" max="77" width="20.5703125" style="14" bestFit="1" customWidth="1"/>
    <col min="78" max="78" width="19.5703125" style="14" bestFit="1" customWidth="1"/>
    <col min="79" max="79" width="19.42578125" style="14" bestFit="1" customWidth="1"/>
    <col min="80" max="16384" width="8.85546875" style="14"/>
  </cols>
  <sheetData>
    <row r="1" spans="1:79" x14ac:dyDescent="0.3">
      <c r="A1" s="13" t="s">
        <v>20</v>
      </c>
      <c r="B1" s="13"/>
      <c r="C1" s="13"/>
      <c r="D1" s="13"/>
      <c r="J1" s="15" t="s">
        <v>7</v>
      </c>
      <c r="K1" s="16" t="s">
        <v>8</v>
      </c>
      <c r="L1" s="16" t="s">
        <v>9</v>
      </c>
      <c r="M1" s="16" t="s">
        <v>48</v>
      </c>
      <c r="N1" s="16" t="s">
        <v>11</v>
      </c>
      <c r="O1" s="16" t="s">
        <v>12</v>
      </c>
      <c r="P1" s="16" t="s">
        <v>23</v>
      </c>
      <c r="Q1" s="16" t="s">
        <v>14</v>
      </c>
      <c r="S1" s="16" t="s">
        <v>23</v>
      </c>
      <c r="T1" s="16" t="s">
        <v>33</v>
      </c>
      <c r="U1" s="16" t="s">
        <v>26</v>
      </c>
      <c r="V1" s="16" t="s">
        <v>32</v>
      </c>
      <c r="W1" s="16" t="s">
        <v>45</v>
      </c>
      <c r="X1" s="16" t="s">
        <v>52</v>
      </c>
      <c r="Y1" s="16" t="s">
        <v>150</v>
      </c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</row>
    <row r="2" spans="1:79" x14ac:dyDescent="0.3">
      <c r="F2" s="17"/>
      <c r="G2" s="18"/>
      <c r="J2" s="19">
        <v>1</v>
      </c>
      <c r="K2" s="20"/>
      <c r="L2" s="20"/>
      <c r="M2" s="21"/>
      <c r="N2" s="20"/>
      <c r="O2" s="20"/>
      <c r="P2" s="20"/>
      <c r="Q2" s="21"/>
      <c r="S2" s="22" t="s">
        <v>185</v>
      </c>
      <c r="T2" s="14" t="s">
        <v>27</v>
      </c>
      <c r="U2" s="14" t="s">
        <v>34</v>
      </c>
      <c r="V2" s="14" t="s">
        <v>117</v>
      </c>
      <c r="X2" s="14">
        <v>1</v>
      </c>
      <c r="Y2" s="14" t="s">
        <v>151</v>
      </c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</row>
    <row r="3" spans="1:79" x14ac:dyDescent="0.3">
      <c r="A3" s="23" t="s">
        <v>22</v>
      </c>
      <c r="B3" s="95" t="s">
        <v>700</v>
      </c>
      <c r="C3" s="96"/>
      <c r="D3" s="97"/>
      <c r="F3" s="17"/>
      <c r="G3" s="18"/>
      <c r="J3" s="19">
        <v>2</v>
      </c>
      <c r="K3" s="20"/>
      <c r="L3" s="20"/>
      <c r="M3" s="21"/>
      <c r="N3" s="20"/>
      <c r="O3" s="20"/>
      <c r="P3" s="20"/>
      <c r="Q3" s="21"/>
      <c r="S3" s="14" t="s">
        <v>180</v>
      </c>
      <c r="T3" s="14" t="s">
        <v>28</v>
      </c>
      <c r="U3" s="14" t="s">
        <v>37</v>
      </c>
      <c r="V3" s="14" t="s">
        <v>120</v>
      </c>
      <c r="W3" s="24"/>
      <c r="X3" s="14">
        <v>2</v>
      </c>
      <c r="Y3" s="14" t="s">
        <v>152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</row>
    <row r="4" spans="1:79" x14ac:dyDescent="0.3">
      <c r="A4" s="23"/>
      <c r="B4" s="95"/>
      <c r="C4" s="96"/>
      <c r="D4" s="97"/>
      <c r="F4" s="17"/>
      <c r="J4" s="19">
        <v>3</v>
      </c>
      <c r="K4" s="20"/>
      <c r="L4" s="20"/>
      <c r="M4" s="21"/>
      <c r="N4" s="20"/>
      <c r="O4" s="20"/>
      <c r="P4" s="20"/>
      <c r="Q4" s="21"/>
      <c r="S4" s="30" t="s">
        <v>243</v>
      </c>
      <c r="T4" s="14" t="s">
        <v>29</v>
      </c>
      <c r="U4" s="14" t="s">
        <v>153</v>
      </c>
      <c r="V4" s="14" t="s">
        <v>114</v>
      </c>
      <c r="W4" s="24"/>
      <c r="X4" s="14">
        <v>3</v>
      </c>
      <c r="Y4" s="14" t="s">
        <v>34</v>
      </c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</row>
    <row r="5" spans="1:79" x14ac:dyDescent="0.3">
      <c r="A5" s="23" t="s">
        <v>21</v>
      </c>
      <c r="B5" s="26">
        <v>44269</v>
      </c>
      <c r="C5" s="27" t="s">
        <v>23</v>
      </c>
      <c r="D5" s="28" t="s">
        <v>180</v>
      </c>
      <c r="F5" s="17"/>
      <c r="G5" s="25"/>
      <c r="J5" s="19">
        <v>4</v>
      </c>
      <c r="K5" s="20"/>
      <c r="L5" s="20"/>
      <c r="M5" s="21"/>
      <c r="N5" s="20"/>
      <c r="O5" s="20"/>
      <c r="P5" s="20"/>
      <c r="Q5" s="21"/>
      <c r="S5" s="14" t="s">
        <v>661</v>
      </c>
      <c r="T5" s="14" t="s">
        <v>30</v>
      </c>
      <c r="U5" s="14" t="s">
        <v>97</v>
      </c>
      <c r="V5" s="14" t="s">
        <v>146</v>
      </c>
      <c r="W5" s="24"/>
      <c r="X5" s="14">
        <v>4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</row>
    <row r="6" spans="1:79" x14ac:dyDescent="0.3">
      <c r="A6" s="23" t="s">
        <v>33</v>
      </c>
      <c r="B6" s="29" t="s">
        <v>28</v>
      </c>
      <c r="C6" s="23" t="s">
        <v>32</v>
      </c>
      <c r="D6" s="23" t="s">
        <v>39</v>
      </c>
      <c r="F6" s="17"/>
      <c r="G6" s="30"/>
      <c r="J6" s="19">
        <v>5</v>
      </c>
      <c r="K6" s="20"/>
      <c r="L6" s="20"/>
      <c r="M6" s="21"/>
      <c r="N6" s="20"/>
      <c r="O6" s="20"/>
      <c r="P6" s="20"/>
      <c r="Q6" s="21"/>
      <c r="S6" s="14" t="s">
        <v>678</v>
      </c>
      <c r="T6" s="14" t="s">
        <v>31</v>
      </c>
      <c r="U6" s="14" t="s">
        <v>168</v>
      </c>
      <c r="V6" s="14" t="s">
        <v>107</v>
      </c>
      <c r="W6" s="24"/>
      <c r="X6" s="14">
        <v>5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</row>
    <row r="7" spans="1:79" x14ac:dyDescent="0.3">
      <c r="A7" s="23" t="s">
        <v>24</v>
      </c>
      <c r="B7" s="29" t="s">
        <v>51</v>
      </c>
      <c r="C7" s="23" t="s">
        <v>47</v>
      </c>
      <c r="D7" s="29">
        <v>4</v>
      </c>
      <c r="F7" s="17"/>
      <c r="G7" s="30"/>
      <c r="J7" s="19">
        <v>6</v>
      </c>
      <c r="K7" s="20"/>
      <c r="L7" s="20"/>
      <c r="M7" s="21"/>
      <c r="N7" s="20"/>
      <c r="O7" s="20"/>
      <c r="P7" s="20"/>
      <c r="Q7" s="21"/>
      <c r="U7" s="14" t="s">
        <v>62</v>
      </c>
      <c r="V7" s="14" t="s">
        <v>68</v>
      </c>
      <c r="W7" s="24"/>
      <c r="X7" s="14">
        <v>6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</row>
    <row r="8" spans="1:79" x14ac:dyDescent="0.3">
      <c r="A8" s="23" t="s">
        <v>25</v>
      </c>
      <c r="B8" s="31"/>
      <c r="C8" s="23" t="s">
        <v>35</v>
      </c>
      <c r="D8" s="29">
        <f>COUNTIF(DATAPAX!M:M,MAIN!B8)</f>
        <v>0</v>
      </c>
      <c r="F8" s="17"/>
      <c r="G8" s="30"/>
      <c r="J8" s="19">
        <v>7</v>
      </c>
      <c r="K8" s="20"/>
      <c r="L8" s="20"/>
      <c r="M8" s="21"/>
      <c r="N8" s="20"/>
      <c r="O8" s="20"/>
      <c r="P8" s="20"/>
      <c r="Q8" s="21"/>
      <c r="U8" s="14" t="s">
        <v>67</v>
      </c>
      <c r="V8" s="14" t="s">
        <v>89</v>
      </c>
      <c r="W8" s="24"/>
      <c r="X8" s="14">
        <v>7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</row>
    <row r="9" spans="1:79" x14ac:dyDescent="0.3">
      <c r="F9" s="17"/>
      <c r="G9" s="30"/>
      <c r="J9" s="19">
        <v>8</v>
      </c>
      <c r="K9" s="20"/>
      <c r="L9" s="20"/>
      <c r="M9" s="21"/>
      <c r="N9" s="20"/>
      <c r="O9" s="20"/>
      <c r="P9" s="20"/>
      <c r="Q9" s="21"/>
      <c r="U9" s="14" t="s">
        <v>130</v>
      </c>
      <c r="V9" s="14" t="s">
        <v>109</v>
      </c>
      <c r="W9" s="24"/>
      <c r="X9" s="14">
        <v>8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</row>
    <row r="10" spans="1:79" x14ac:dyDescent="0.3">
      <c r="A10" s="32" t="s">
        <v>36</v>
      </c>
      <c r="B10" s="30" t="s">
        <v>51</v>
      </c>
      <c r="C10" s="17">
        <v>2</v>
      </c>
      <c r="D10" s="17" t="s">
        <v>28</v>
      </c>
      <c r="E10" s="14" t="s">
        <v>56</v>
      </c>
      <c r="F10" s="17"/>
      <c r="G10" s="30"/>
      <c r="J10" s="19">
        <v>9</v>
      </c>
      <c r="K10" s="20"/>
      <c r="L10" s="20"/>
      <c r="M10" s="21"/>
      <c r="N10" s="20"/>
      <c r="O10" s="20"/>
      <c r="P10" s="20"/>
      <c r="Q10" s="21"/>
      <c r="U10" s="14" t="s">
        <v>54</v>
      </c>
      <c r="V10" s="14" t="s">
        <v>41</v>
      </c>
      <c r="W10" s="24"/>
      <c r="X10" s="14">
        <v>9</v>
      </c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</row>
    <row r="11" spans="1:79" x14ac:dyDescent="0.3">
      <c r="B11" s="14" t="s">
        <v>115</v>
      </c>
      <c r="C11" s="14">
        <v>1</v>
      </c>
      <c r="F11" s="17"/>
      <c r="G11" s="30"/>
      <c r="J11" s="19">
        <v>10</v>
      </c>
      <c r="K11" s="20"/>
      <c r="L11" s="20"/>
      <c r="M11" s="21"/>
      <c r="N11" s="20"/>
      <c r="O11" s="20"/>
      <c r="P11" s="20"/>
      <c r="Q11" s="21"/>
      <c r="U11" s="14" t="s">
        <v>70</v>
      </c>
      <c r="V11" s="14" t="s">
        <v>91</v>
      </c>
      <c r="W11" s="24"/>
      <c r="X11" s="14">
        <v>10</v>
      </c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</row>
    <row r="12" spans="1:79" x14ac:dyDescent="0.3">
      <c r="F12" s="17"/>
      <c r="G12" s="30"/>
      <c r="J12" s="19">
        <v>11</v>
      </c>
      <c r="K12" s="20"/>
      <c r="L12" s="20"/>
      <c r="M12" s="21"/>
      <c r="N12" s="20"/>
      <c r="O12" s="20"/>
      <c r="P12" s="20"/>
      <c r="Q12" s="21"/>
      <c r="U12" s="14" t="s">
        <v>87</v>
      </c>
      <c r="V12" s="14" t="s">
        <v>81</v>
      </c>
      <c r="W12" s="24"/>
      <c r="X12" s="14">
        <v>11</v>
      </c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</row>
    <row r="13" spans="1:79" x14ac:dyDescent="0.3">
      <c r="F13" s="17"/>
      <c r="G13" s="30"/>
      <c r="J13" s="19">
        <v>12</v>
      </c>
      <c r="K13" s="20"/>
      <c r="L13" s="20"/>
      <c r="M13" s="21"/>
      <c r="N13" s="20"/>
      <c r="O13" s="20"/>
      <c r="P13" s="20"/>
      <c r="Q13" s="21"/>
      <c r="U13" s="14" t="s">
        <v>98</v>
      </c>
      <c r="V13" s="14" t="s">
        <v>121</v>
      </c>
      <c r="W13" s="24"/>
      <c r="X13" s="14">
        <v>12</v>
      </c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</row>
    <row r="14" spans="1:79" ht="18.75" customHeight="1" x14ac:dyDescent="0.3">
      <c r="F14" s="17"/>
      <c r="G14" s="30"/>
      <c r="J14" s="19">
        <v>13</v>
      </c>
      <c r="K14" s="20"/>
      <c r="L14" s="20"/>
      <c r="M14" s="21"/>
      <c r="N14" s="20"/>
      <c r="O14" s="20"/>
      <c r="P14" s="20"/>
      <c r="Q14" s="21"/>
      <c r="U14" s="14" t="s">
        <v>93</v>
      </c>
      <c r="V14" s="37" t="s">
        <v>122</v>
      </c>
      <c r="W14" s="24"/>
      <c r="X14" s="14">
        <v>13</v>
      </c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</row>
    <row r="15" spans="1:79" x14ac:dyDescent="0.3">
      <c r="F15" s="17"/>
      <c r="G15" s="30"/>
      <c r="J15" s="19">
        <v>14</v>
      </c>
      <c r="K15" s="20"/>
      <c r="L15" s="20"/>
      <c r="M15" s="21"/>
      <c r="N15" s="20"/>
      <c r="O15" s="20"/>
      <c r="P15" s="20"/>
      <c r="Q15" s="21"/>
      <c r="U15" s="14" t="s">
        <v>51</v>
      </c>
      <c r="V15" s="14" t="s">
        <v>118</v>
      </c>
      <c r="W15" s="24"/>
      <c r="X15" s="14">
        <v>14</v>
      </c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</row>
    <row r="16" spans="1:79" ht="18.75" customHeight="1" x14ac:dyDescent="0.3">
      <c r="D16" s="33"/>
      <c r="F16" s="17"/>
      <c r="G16" s="30"/>
      <c r="J16" s="19">
        <v>15</v>
      </c>
      <c r="K16" s="20"/>
      <c r="L16" s="20"/>
      <c r="M16" s="21"/>
      <c r="N16" s="20"/>
      <c r="O16" s="20"/>
      <c r="P16" s="20"/>
      <c r="Q16" s="21"/>
      <c r="U16" s="14" t="s">
        <v>90</v>
      </c>
      <c r="V16" s="14" t="s">
        <v>153</v>
      </c>
      <c r="W16" s="24"/>
      <c r="X16" s="14">
        <v>15</v>
      </c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</row>
    <row r="17" spans="1:79" x14ac:dyDescent="0.3">
      <c r="F17" s="17"/>
      <c r="G17" s="30"/>
      <c r="J17" s="19">
        <v>16</v>
      </c>
      <c r="K17" s="20"/>
      <c r="L17" s="20"/>
      <c r="M17" s="21"/>
      <c r="N17" s="20"/>
      <c r="O17" s="20"/>
      <c r="P17" s="20"/>
      <c r="Q17" s="21"/>
      <c r="U17" s="14" t="s">
        <v>131</v>
      </c>
      <c r="V17" s="14" t="s">
        <v>123</v>
      </c>
      <c r="W17" s="24"/>
      <c r="X17" s="14">
        <v>16</v>
      </c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</row>
    <row r="18" spans="1:79" x14ac:dyDescent="0.3">
      <c r="F18" s="17"/>
      <c r="G18" s="30"/>
      <c r="J18" s="19">
        <v>17</v>
      </c>
      <c r="K18" s="20"/>
      <c r="L18" s="20"/>
      <c r="M18" s="21"/>
      <c r="N18" s="20"/>
      <c r="O18" s="20"/>
      <c r="P18" s="20"/>
      <c r="Q18" s="21"/>
      <c r="U18" s="14" t="s">
        <v>64</v>
      </c>
      <c r="V18" s="14" t="s">
        <v>85</v>
      </c>
      <c r="W18" s="24"/>
      <c r="X18" s="14">
        <v>17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</row>
    <row r="19" spans="1:79" x14ac:dyDescent="0.3">
      <c r="F19" s="17"/>
      <c r="G19" s="30"/>
      <c r="J19" s="19">
        <v>18</v>
      </c>
      <c r="K19" s="20"/>
      <c r="L19" s="20"/>
      <c r="M19" s="21"/>
      <c r="N19" s="20"/>
      <c r="O19" s="20"/>
      <c r="P19" s="20"/>
      <c r="Q19" s="21"/>
      <c r="U19" s="14" t="s">
        <v>65</v>
      </c>
      <c r="V19" s="14" t="s">
        <v>86</v>
      </c>
      <c r="W19" s="24"/>
      <c r="X19" s="14">
        <v>18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</row>
    <row r="20" spans="1:79" x14ac:dyDescent="0.3">
      <c r="A20" s="34"/>
      <c r="B20" s="14" t="s">
        <v>161</v>
      </c>
      <c r="F20" s="17"/>
      <c r="G20" s="30"/>
      <c r="J20" s="19">
        <v>19</v>
      </c>
      <c r="K20" s="20"/>
      <c r="L20" s="20"/>
      <c r="M20" s="21"/>
      <c r="N20" s="20"/>
      <c r="O20" s="20"/>
      <c r="P20" s="20"/>
      <c r="Q20" s="21"/>
      <c r="U20" s="14" t="s">
        <v>66</v>
      </c>
      <c r="V20" s="14" t="s">
        <v>80</v>
      </c>
      <c r="W20" s="24"/>
      <c r="X20" s="14">
        <v>19</v>
      </c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</row>
    <row r="21" spans="1:79" x14ac:dyDescent="0.3">
      <c r="A21" s="34"/>
      <c r="F21" s="17"/>
      <c r="G21" s="30"/>
      <c r="J21" s="19">
        <v>20</v>
      </c>
      <c r="K21" s="20"/>
      <c r="L21" s="20"/>
      <c r="M21" s="21"/>
      <c r="N21" s="20"/>
      <c r="O21" s="20"/>
      <c r="P21" s="20"/>
      <c r="Q21" s="21"/>
      <c r="U21" s="14" t="s">
        <v>94</v>
      </c>
      <c r="V21" s="14" t="s">
        <v>103</v>
      </c>
      <c r="W21" s="24"/>
      <c r="X21" s="14">
        <v>20</v>
      </c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</row>
    <row r="22" spans="1:79" x14ac:dyDescent="0.3">
      <c r="F22" s="17"/>
      <c r="G22" s="30"/>
      <c r="J22" s="19">
        <v>21</v>
      </c>
      <c r="K22" s="20"/>
      <c r="L22" s="20"/>
      <c r="M22" s="21"/>
      <c r="N22" s="20"/>
      <c r="O22" s="20"/>
      <c r="P22" s="20"/>
      <c r="Q22" s="21"/>
      <c r="U22" s="14" t="s">
        <v>184</v>
      </c>
      <c r="V22" s="14" t="s">
        <v>148</v>
      </c>
      <c r="W22" s="24"/>
      <c r="X22" s="14">
        <v>21</v>
      </c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</row>
    <row r="23" spans="1:79" x14ac:dyDescent="0.3">
      <c r="F23" s="17"/>
      <c r="G23" s="30"/>
      <c r="J23" s="19">
        <v>22</v>
      </c>
      <c r="K23" s="20"/>
      <c r="L23" s="20"/>
      <c r="M23" s="21"/>
      <c r="N23" s="20"/>
      <c r="O23" s="20"/>
      <c r="P23" s="20"/>
      <c r="Q23" s="21"/>
      <c r="V23" s="14" t="s">
        <v>61</v>
      </c>
      <c r="W23" s="42"/>
      <c r="X23" s="14">
        <v>22</v>
      </c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</row>
    <row r="24" spans="1:79" x14ac:dyDescent="0.3">
      <c r="F24" s="17"/>
      <c r="G24" s="30"/>
      <c r="J24" s="19">
        <v>23</v>
      </c>
      <c r="K24" s="20"/>
      <c r="L24" s="20"/>
      <c r="M24" s="21"/>
      <c r="N24" s="20"/>
      <c r="O24" s="20"/>
      <c r="P24" s="20"/>
      <c r="Q24" s="21"/>
      <c r="V24" s="14" t="s">
        <v>39</v>
      </c>
      <c r="W24" s="42"/>
      <c r="X24" s="14">
        <v>23</v>
      </c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</row>
    <row r="25" spans="1:79" x14ac:dyDescent="0.3">
      <c r="B25" s="35" t="s">
        <v>162</v>
      </c>
      <c r="C25" s="36"/>
      <c r="F25" s="17"/>
      <c r="G25" s="30"/>
      <c r="J25" s="19">
        <v>24</v>
      </c>
      <c r="K25" s="20"/>
      <c r="L25" s="20"/>
      <c r="M25" s="21"/>
      <c r="N25" s="20"/>
      <c r="O25" s="20"/>
      <c r="P25" s="20"/>
      <c r="Q25" s="21"/>
      <c r="V25" s="14" t="s">
        <v>57</v>
      </c>
      <c r="W25" s="42"/>
      <c r="X25" s="14">
        <v>24</v>
      </c>
      <c r="Y25"/>
      <c r="Z25"/>
      <c r="AA25"/>
      <c r="AB25"/>
    </row>
    <row r="26" spans="1:79" x14ac:dyDescent="0.3">
      <c r="B26" s="35" t="s">
        <v>163</v>
      </c>
      <c r="C26" s="36"/>
      <c r="F26" s="17"/>
      <c r="G26" s="30"/>
      <c r="J26" s="19">
        <v>25</v>
      </c>
      <c r="K26" s="20"/>
      <c r="L26" s="20"/>
      <c r="M26" s="21"/>
      <c r="N26" s="20"/>
      <c r="O26" s="20"/>
      <c r="P26" s="20"/>
      <c r="Q26" s="21"/>
      <c r="V26" s="14" t="s">
        <v>189</v>
      </c>
      <c r="W26" s="42"/>
      <c r="X26" s="14">
        <v>25</v>
      </c>
      <c r="Y26"/>
      <c r="Z26"/>
      <c r="AA26"/>
      <c r="AB26"/>
    </row>
    <row r="27" spans="1:79" x14ac:dyDescent="0.3">
      <c r="B27" s="35" t="s">
        <v>164</v>
      </c>
      <c r="C27" s="36"/>
      <c r="F27" s="17"/>
      <c r="G27" s="30"/>
      <c r="J27" s="19">
        <v>26</v>
      </c>
      <c r="K27" s="20"/>
      <c r="L27" s="20"/>
      <c r="M27" s="21"/>
      <c r="N27" s="20"/>
      <c r="O27" s="20"/>
      <c r="P27" s="20"/>
      <c r="Q27" s="21"/>
      <c r="V27" s="14" t="s">
        <v>88</v>
      </c>
      <c r="W27" s="42"/>
      <c r="X27" s="14">
        <v>26</v>
      </c>
      <c r="Y27"/>
      <c r="Z27"/>
      <c r="AA27"/>
      <c r="AB27"/>
    </row>
    <row r="28" spans="1:79" x14ac:dyDescent="0.3">
      <c r="B28" s="35" t="s">
        <v>165</v>
      </c>
      <c r="C28" s="36"/>
      <c r="F28" s="17"/>
      <c r="G28" s="30"/>
      <c r="J28" s="19">
        <v>27</v>
      </c>
      <c r="K28" s="20"/>
      <c r="L28" s="20"/>
      <c r="M28" s="21"/>
      <c r="N28" s="20"/>
      <c r="O28" s="20"/>
      <c r="P28" s="20"/>
      <c r="Q28" s="21"/>
      <c r="V28" s="37" t="s">
        <v>190</v>
      </c>
      <c r="W28" s="42"/>
      <c r="X28" s="14">
        <v>27</v>
      </c>
      <c r="Y28"/>
      <c r="Z28"/>
      <c r="AA28"/>
      <c r="AB28"/>
    </row>
    <row r="29" spans="1:79" x14ac:dyDescent="0.3">
      <c r="B29" s="35" t="s">
        <v>166</v>
      </c>
      <c r="C29" s="36"/>
      <c r="F29" s="17"/>
      <c r="G29" s="30"/>
      <c r="J29" s="19">
        <v>28</v>
      </c>
      <c r="K29" s="20"/>
      <c r="L29" s="20"/>
      <c r="M29" s="21"/>
      <c r="N29" s="20"/>
      <c r="O29" s="20"/>
      <c r="P29" s="20"/>
      <c r="Q29" s="21"/>
      <c r="V29" s="14" t="s">
        <v>129</v>
      </c>
      <c r="W29" s="42"/>
      <c r="X29" s="14">
        <v>28</v>
      </c>
      <c r="Y29"/>
      <c r="Z29"/>
      <c r="AA29"/>
      <c r="AB29"/>
    </row>
    <row r="30" spans="1:79" x14ac:dyDescent="0.3">
      <c r="B30" s="35" t="s">
        <v>167</v>
      </c>
      <c r="C30" s="36"/>
      <c r="F30" s="17"/>
      <c r="G30" s="30"/>
      <c r="J30" s="19">
        <v>29</v>
      </c>
      <c r="K30" s="20"/>
      <c r="L30" s="20"/>
      <c r="M30" s="21"/>
      <c r="N30" s="20"/>
      <c r="O30" s="20"/>
      <c r="P30" s="20"/>
      <c r="Q30" s="21"/>
      <c r="V30" s="14" t="s">
        <v>49</v>
      </c>
      <c r="W30" s="42"/>
      <c r="X30" s="14">
        <v>29</v>
      </c>
      <c r="Y30"/>
      <c r="Z30"/>
      <c r="AA30"/>
      <c r="AB30"/>
    </row>
    <row r="31" spans="1:79" x14ac:dyDescent="0.3">
      <c r="F31" s="17"/>
      <c r="G31" s="30"/>
      <c r="J31" s="19">
        <v>30</v>
      </c>
      <c r="K31" s="20"/>
      <c r="L31" s="20"/>
      <c r="M31" s="21"/>
      <c r="N31" s="20"/>
      <c r="O31" s="20"/>
      <c r="P31" s="20"/>
      <c r="Q31" s="21"/>
      <c r="V31" s="14" t="s">
        <v>63</v>
      </c>
      <c r="W31" s="42"/>
      <c r="X31" s="14">
        <v>30</v>
      </c>
      <c r="Y31"/>
      <c r="Z31"/>
      <c r="AA31"/>
      <c r="AB31"/>
    </row>
    <row r="32" spans="1:79" x14ac:dyDescent="0.3">
      <c r="J32" s="19">
        <v>31</v>
      </c>
      <c r="K32" s="20"/>
      <c r="L32" s="20"/>
      <c r="M32" s="21"/>
      <c r="N32" s="20"/>
      <c r="O32" s="20"/>
      <c r="P32" s="20"/>
      <c r="Q32" s="21"/>
      <c r="V32" s="14" t="s">
        <v>92</v>
      </c>
      <c r="W32"/>
      <c r="X32" s="14">
        <v>31</v>
      </c>
      <c r="Y32"/>
      <c r="Z32"/>
      <c r="AA32"/>
      <c r="AB32"/>
    </row>
    <row r="33" spans="10:28" x14ac:dyDescent="0.3">
      <c r="J33" s="19">
        <v>32</v>
      </c>
      <c r="K33" s="20"/>
      <c r="L33" s="20"/>
      <c r="M33" s="21"/>
      <c r="N33" s="20"/>
      <c r="O33" s="20"/>
      <c r="P33" s="20"/>
      <c r="Q33" s="21"/>
      <c r="V33" s="14" t="s">
        <v>191</v>
      </c>
      <c r="W33"/>
      <c r="X33" s="14">
        <v>32</v>
      </c>
      <c r="Y33"/>
      <c r="Z33"/>
      <c r="AA33"/>
      <c r="AB33"/>
    </row>
    <row r="34" spans="10:28" x14ac:dyDescent="0.3">
      <c r="J34" s="19">
        <v>33</v>
      </c>
      <c r="K34" s="20"/>
      <c r="L34" s="20"/>
      <c r="M34" s="21"/>
      <c r="N34" s="20"/>
      <c r="O34" s="20"/>
      <c r="P34" s="20"/>
      <c r="Q34" s="21"/>
      <c r="V34" s="37" t="s">
        <v>50</v>
      </c>
      <c r="W34"/>
      <c r="X34" s="14">
        <v>33</v>
      </c>
      <c r="Y34"/>
      <c r="Z34"/>
      <c r="AA34"/>
      <c r="AB34"/>
    </row>
    <row r="35" spans="10:28" x14ac:dyDescent="0.3">
      <c r="J35" s="19">
        <v>34</v>
      </c>
      <c r="K35" s="20"/>
      <c r="L35" s="20"/>
      <c r="M35" s="21"/>
      <c r="N35" s="20"/>
      <c r="O35" s="20"/>
      <c r="P35" s="20"/>
      <c r="Q35" s="21"/>
      <c r="V35" s="14" t="s">
        <v>38</v>
      </c>
      <c r="W35"/>
      <c r="X35" s="14">
        <v>34</v>
      </c>
      <c r="Y35"/>
      <c r="Z35"/>
      <c r="AA35"/>
      <c r="AB35"/>
    </row>
    <row r="36" spans="10:28" x14ac:dyDescent="0.3">
      <c r="J36" s="19">
        <v>35</v>
      </c>
      <c r="K36" s="20"/>
      <c r="L36" s="20"/>
      <c r="M36" s="21"/>
      <c r="N36" s="20"/>
      <c r="O36" s="20"/>
      <c r="P36" s="20"/>
      <c r="Q36" s="21"/>
      <c r="V36" s="14" t="s">
        <v>119</v>
      </c>
      <c r="W36"/>
      <c r="X36" s="14">
        <v>35</v>
      </c>
      <c r="Y36"/>
      <c r="Z36"/>
      <c r="AA36"/>
      <c r="AB36"/>
    </row>
    <row r="37" spans="10:28" x14ac:dyDescent="0.3">
      <c r="J37" s="19">
        <v>36</v>
      </c>
      <c r="K37" s="20"/>
      <c r="L37" s="20"/>
      <c r="M37" s="21"/>
      <c r="N37" s="20"/>
      <c r="O37" s="20"/>
      <c r="P37" s="20"/>
      <c r="Q37" s="21"/>
      <c r="V37" s="14" t="s">
        <v>99</v>
      </c>
      <c r="W37"/>
      <c r="X37" s="14">
        <v>36</v>
      </c>
      <c r="Y37"/>
      <c r="Z37"/>
      <c r="AA37"/>
      <c r="AB37"/>
    </row>
    <row r="38" spans="10:28" x14ac:dyDescent="0.3">
      <c r="J38" s="19">
        <v>37</v>
      </c>
      <c r="K38" s="20"/>
      <c r="L38" s="20"/>
      <c r="M38" s="21"/>
      <c r="N38" s="20"/>
      <c r="O38" s="20"/>
      <c r="P38" s="20"/>
      <c r="Q38" s="21"/>
      <c r="V38" s="14" t="s">
        <v>42</v>
      </c>
      <c r="W38"/>
      <c r="X38" s="14">
        <v>37</v>
      </c>
      <c r="Y38"/>
      <c r="Z38"/>
      <c r="AA38"/>
      <c r="AB38"/>
    </row>
    <row r="39" spans="10:28" x14ac:dyDescent="0.3">
      <c r="J39" s="19">
        <v>38</v>
      </c>
      <c r="K39" s="20"/>
      <c r="L39" s="20"/>
      <c r="M39" s="21"/>
      <c r="N39" s="20"/>
      <c r="O39" s="20"/>
      <c r="P39" s="20"/>
      <c r="Q39" s="21"/>
      <c r="V39" s="14" t="s">
        <v>56</v>
      </c>
      <c r="W39"/>
      <c r="X39" s="14">
        <v>38</v>
      </c>
      <c r="Y39"/>
      <c r="Z39"/>
      <c r="AA39"/>
    </row>
    <row r="40" spans="10:28" x14ac:dyDescent="0.3">
      <c r="J40" s="19">
        <v>39</v>
      </c>
      <c r="K40" s="20"/>
      <c r="L40" s="20"/>
      <c r="M40" s="21"/>
      <c r="N40" s="20"/>
      <c r="O40" s="20"/>
      <c r="P40" s="20"/>
      <c r="Q40" s="21"/>
      <c r="V40" s="14" t="s">
        <v>34</v>
      </c>
      <c r="W40"/>
      <c r="X40" s="14">
        <v>39</v>
      </c>
      <c r="Y40"/>
      <c r="Z40"/>
      <c r="AA40"/>
    </row>
    <row r="41" spans="10:28" x14ac:dyDescent="0.3">
      <c r="J41" s="19">
        <v>40</v>
      </c>
      <c r="K41" s="20"/>
      <c r="L41" s="20"/>
      <c r="M41" s="21"/>
      <c r="N41" s="20"/>
      <c r="O41" s="20"/>
      <c r="P41" s="20"/>
      <c r="Q41" s="21"/>
      <c r="V41" s="14" t="s">
        <v>156</v>
      </c>
      <c r="W41"/>
      <c r="X41" s="14">
        <v>40</v>
      </c>
      <c r="Y41"/>
      <c r="Z41"/>
      <c r="AA41"/>
    </row>
    <row r="42" spans="10:28" x14ac:dyDescent="0.3">
      <c r="J42" s="19">
        <v>41</v>
      </c>
      <c r="K42" s="20"/>
      <c r="L42" s="20"/>
      <c r="M42" s="21"/>
      <c r="N42" s="20"/>
      <c r="O42" s="20"/>
      <c r="P42" s="20"/>
      <c r="Q42" s="21"/>
      <c r="V42" s="14" t="s">
        <v>71</v>
      </c>
      <c r="W42"/>
      <c r="X42" s="14">
        <v>41</v>
      </c>
      <c r="Y42"/>
      <c r="Z42"/>
      <c r="AA42"/>
    </row>
    <row r="43" spans="10:28" x14ac:dyDescent="0.3">
      <c r="J43" s="19">
        <v>42</v>
      </c>
      <c r="K43" s="20"/>
      <c r="L43" s="20"/>
      <c r="M43" s="21"/>
      <c r="N43" s="20"/>
      <c r="O43" s="20"/>
      <c r="P43" s="20"/>
      <c r="Q43" s="21"/>
      <c r="V43" s="14" t="s">
        <v>149</v>
      </c>
      <c r="W43"/>
      <c r="X43" s="14">
        <v>42</v>
      </c>
      <c r="Y43"/>
      <c r="Z43"/>
      <c r="AA43"/>
    </row>
    <row r="44" spans="10:28" x14ac:dyDescent="0.3">
      <c r="J44" s="19">
        <v>43</v>
      </c>
      <c r="K44" s="20"/>
      <c r="L44" s="20"/>
      <c r="M44" s="21"/>
      <c r="N44" s="20"/>
      <c r="O44" s="20"/>
      <c r="P44" s="20"/>
      <c r="Q44" s="21"/>
      <c r="V44" s="14" t="s">
        <v>147</v>
      </c>
      <c r="W44"/>
      <c r="X44" s="14">
        <v>43</v>
      </c>
      <c r="Y44"/>
      <c r="Z44"/>
      <c r="AA44"/>
    </row>
    <row r="45" spans="10:28" x14ac:dyDescent="0.3">
      <c r="J45" s="19">
        <v>44</v>
      </c>
      <c r="K45" s="20"/>
      <c r="L45" s="20"/>
      <c r="M45" s="21"/>
      <c r="N45" s="20"/>
      <c r="O45" s="20"/>
      <c r="P45" s="20"/>
      <c r="Q45" s="21"/>
      <c r="V45" s="14" t="s">
        <v>58</v>
      </c>
      <c r="W45"/>
      <c r="X45" s="14">
        <v>44</v>
      </c>
      <c r="Y45"/>
      <c r="Z45"/>
      <c r="AA45"/>
    </row>
    <row r="46" spans="10:28" x14ac:dyDescent="0.3">
      <c r="J46" s="19">
        <v>45</v>
      </c>
      <c r="K46" s="20"/>
      <c r="L46" s="20"/>
      <c r="M46" s="21"/>
      <c r="N46" s="20"/>
      <c r="O46" s="20"/>
      <c r="P46" s="20"/>
      <c r="Q46" s="21"/>
      <c r="V46" s="14" t="s">
        <v>59</v>
      </c>
      <c r="W46"/>
      <c r="X46" s="14">
        <v>45</v>
      </c>
      <c r="Y46"/>
      <c r="Z46"/>
      <c r="AA46"/>
    </row>
    <row r="47" spans="10:28" x14ac:dyDescent="0.3">
      <c r="J47" s="19">
        <v>46</v>
      </c>
      <c r="K47" s="20"/>
      <c r="L47" s="20"/>
      <c r="M47" s="21"/>
      <c r="N47" s="20"/>
      <c r="O47" s="20"/>
      <c r="P47" s="20"/>
      <c r="Q47" s="21"/>
      <c r="V47" s="14" t="s">
        <v>43</v>
      </c>
      <c r="W47"/>
      <c r="X47" s="14">
        <v>46</v>
      </c>
      <c r="Y47"/>
      <c r="Z47"/>
      <c r="AA47"/>
    </row>
    <row r="48" spans="10:28" x14ac:dyDescent="0.3">
      <c r="J48" s="19">
        <v>47</v>
      </c>
      <c r="K48" s="20"/>
      <c r="L48" s="20"/>
      <c r="M48" s="21"/>
      <c r="N48" s="20"/>
      <c r="O48" s="20"/>
      <c r="P48" s="20"/>
      <c r="Q48" s="21"/>
      <c r="V48" s="14" t="s">
        <v>124</v>
      </c>
      <c r="W48"/>
      <c r="X48" s="14">
        <v>47</v>
      </c>
      <c r="Y48"/>
      <c r="Z48"/>
      <c r="AA48"/>
    </row>
    <row r="49" spans="10:27" x14ac:dyDescent="0.3">
      <c r="J49" s="19">
        <v>48</v>
      </c>
      <c r="K49" s="20"/>
      <c r="L49" s="20"/>
      <c r="M49" s="21"/>
      <c r="N49" s="20"/>
      <c r="O49" s="20"/>
      <c r="P49" s="20"/>
      <c r="Q49" s="21"/>
      <c r="V49" s="14" t="s">
        <v>125</v>
      </c>
      <c r="W49"/>
      <c r="X49" s="14">
        <v>48</v>
      </c>
      <c r="Y49"/>
      <c r="Z49"/>
      <c r="AA49"/>
    </row>
    <row r="50" spans="10:27" x14ac:dyDescent="0.3">
      <c r="J50" s="19">
        <v>49</v>
      </c>
      <c r="K50" s="20"/>
      <c r="L50" s="20"/>
      <c r="M50" s="21"/>
      <c r="N50" s="20"/>
      <c r="O50" s="20"/>
      <c r="P50" s="20"/>
      <c r="Q50" s="21"/>
      <c r="V50" s="14" t="s">
        <v>76</v>
      </c>
      <c r="W50"/>
      <c r="X50" s="14">
        <v>49</v>
      </c>
      <c r="Y50"/>
      <c r="Z50"/>
      <c r="AA50"/>
    </row>
    <row r="51" spans="10:27" x14ac:dyDescent="0.3">
      <c r="J51" s="19">
        <v>50</v>
      </c>
      <c r="K51" s="20"/>
      <c r="L51" s="20"/>
      <c r="M51" s="21"/>
      <c r="N51" s="20"/>
      <c r="O51" s="20"/>
      <c r="P51" s="20"/>
      <c r="Q51" s="21"/>
      <c r="V51" s="14" t="s">
        <v>75</v>
      </c>
      <c r="W51"/>
      <c r="X51" s="14">
        <v>50</v>
      </c>
      <c r="Y51"/>
      <c r="Z51"/>
      <c r="AA51"/>
    </row>
    <row r="52" spans="10:27" x14ac:dyDescent="0.3">
      <c r="J52" s="19">
        <v>51</v>
      </c>
      <c r="K52" s="20"/>
      <c r="L52" s="20"/>
      <c r="M52" s="21"/>
      <c r="N52" s="20"/>
      <c r="O52" s="20"/>
      <c r="P52" s="20"/>
      <c r="Q52" s="21"/>
      <c r="V52" s="14" t="s">
        <v>84</v>
      </c>
      <c r="W52"/>
      <c r="X52" s="14">
        <v>51</v>
      </c>
      <c r="Y52"/>
      <c r="Z52"/>
      <c r="AA52"/>
    </row>
    <row r="53" spans="10:27" x14ac:dyDescent="0.3">
      <c r="J53" s="19">
        <v>52</v>
      </c>
      <c r="K53" s="20"/>
      <c r="L53" s="20"/>
      <c r="M53" s="21"/>
      <c r="N53" s="20"/>
      <c r="O53" s="20"/>
      <c r="P53" s="20"/>
      <c r="Q53" s="21"/>
      <c r="V53" s="14" t="s">
        <v>74</v>
      </c>
      <c r="W53"/>
      <c r="X53" s="14">
        <v>52</v>
      </c>
      <c r="Y53"/>
      <c r="Z53"/>
      <c r="AA53"/>
    </row>
    <row r="54" spans="10:27" x14ac:dyDescent="0.3">
      <c r="J54" s="19">
        <v>53</v>
      </c>
      <c r="K54" s="20"/>
      <c r="L54" s="20"/>
      <c r="M54" s="21"/>
      <c r="N54" s="20"/>
      <c r="O54" s="20"/>
      <c r="P54" s="20"/>
      <c r="Q54" s="21"/>
      <c r="V54" s="14" t="s">
        <v>78</v>
      </c>
      <c r="W54"/>
      <c r="X54" s="14">
        <v>53</v>
      </c>
      <c r="Y54"/>
      <c r="Z54"/>
      <c r="AA54"/>
    </row>
    <row r="55" spans="10:27" x14ac:dyDescent="0.3">
      <c r="J55" s="19">
        <v>54</v>
      </c>
      <c r="K55" s="20"/>
      <c r="L55" s="20"/>
      <c r="M55" s="21"/>
      <c r="N55" s="20"/>
      <c r="O55" s="20"/>
      <c r="P55" s="20"/>
      <c r="Q55" s="21"/>
      <c r="V55" s="14" t="s">
        <v>79</v>
      </c>
      <c r="W55"/>
      <c r="X55" s="14">
        <v>54</v>
      </c>
      <c r="Y55"/>
      <c r="Z55"/>
    </row>
    <row r="56" spans="10:27" x14ac:dyDescent="0.3">
      <c r="J56" s="19">
        <v>55</v>
      </c>
      <c r="K56" s="20"/>
      <c r="L56" s="20"/>
      <c r="M56" s="21"/>
      <c r="N56" s="20"/>
      <c r="O56" s="20"/>
      <c r="P56" s="20"/>
      <c r="Q56" s="21"/>
      <c r="V56" s="14" t="s">
        <v>77</v>
      </c>
      <c r="W56"/>
      <c r="X56" s="14">
        <v>55</v>
      </c>
      <c r="Y56"/>
      <c r="Z56"/>
    </row>
    <row r="57" spans="10:27" x14ac:dyDescent="0.3">
      <c r="J57" s="19">
        <v>56</v>
      </c>
      <c r="K57" s="20"/>
      <c r="L57" s="20"/>
      <c r="M57" s="21"/>
      <c r="N57" s="20"/>
      <c r="O57" s="20"/>
      <c r="P57" s="20"/>
      <c r="Q57" s="21"/>
      <c r="V57" s="14" t="s">
        <v>40</v>
      </c>
      <c r="W57"/>
      <c r="X57" s="14">
        <v>56</v>
      </c>
      <c r="Y57"/>
      <c r="Z57"/>
    </row>
    <row r="58" spans="10:27" x14ac:dyDescent="0.3">
      <c r="J58" s="19">
        <v>57</v>
      </c>
      <c r="K58" s="20"/>
      <c r="L58" s="20"/>
      <c r="M58" s="21"/>
      <c r="N58" s="20"/>
      <c r="O58" s="20"/>
      <c r="P58" s="20"/>
      <c r="Q58" s="21"/>
      <c r="V58" s="14" t="s">
        <v>105</v>
      </c>
      <c r="W58"/>
      <c r="X58" s="14">
        <v>57</v>
      </c>
      <c r="Y58"/>
      <c r="Z58"/>
    </row>
    <row r="59" spans="10:27" x14ac:dyDescent="0.3">
      <c r="J59" s="19">
        <v>58</v>
      </c>
      <c r="K59" s="20"/>
      <c r="L59" s="20"/>
      <c r="M59" s="21"/>
      <c r="N59" s="20"/>
      <c r="O59" s="20"/>
      <c r="P59" s="20"/>
      <c r="Q59" s="21"/>
      <c r="V59" s="14" t="s">
        <v>158</v>
      </c>
      <c r="W59"/>
      <c r="X59" s="14">
        <v>58</v>
      </c>
      <c r="Y59"/>
      <c r="Z59"/>
    </row>
    <row r="60" spans="10:27" x14ac:dyDescent="0.3">
      <c r="J60" s="19">
        <v>59</v>
      </c>
      <c r="K60" s="20"/>
      <c r="L60" s="20"/>
      <c r="M60" s="21"/>
      <c r="N60" s="20"/>
      <c r="O60" s="20"/>
      <c r="P60" s="20"/>
      <c r="Q60" s="21"/>
      <c r="V60" s="14" t="s">
        <v>100</v>
      </c>
      <c r="W60"/>
      <c r="X60" s="14">
        <v>59</v>
      </c>
      <c r="Y60"/>
      <c r="Z60"/>
    </row>
    <row r="61" spans="10:27" x14ac:dyDescent="0.3">
      <c r="J61" s="19">
        <v>60</v>
      </c>
      <c r="K61" s="20"/>
      <c r="L61" s="20"/>
      <c r="M61" s="21"/>
      <c r="N61" s="20"/>
      <c r="O61" s="20"/>
      <c r="P61" s="20"/>
      <c r="Q61" s="21"/>
      <c r="V61" s="14" t="s">
        <v>101</v>
      </c>
      <c r="W61"/>
      <c r="X61" s="14">
        <v>60</v>
      </c>
      <c r="Y61"/>
      <c r="Z61"/>
    </row>
    <row r="62" spans="10:27" x14ac:dyDescent="0.3">
      <c r="J62" s="19"/>
      <c r="K62" s="20"/>
      <c r="L62" s="20"/>
      <c r="M62" s="21"/>
      <c r="N62" s="20"/>
      <c r="O62" s="20"/>
      <c r="P62" s="20"/>
      <c r="Q62" s="21"/>
      <c r="V62" s="14" t="s">
        <v>108</v>
      </c>
      <c r="W62"/>
      <c r="X62" s="14">
        <v>61</v>
      </c>
      <c r="Y62"/>
      <c r="Z62"/>
    </row>
    <row r="63" spans="10:27" x14ac:dyDescent="0.3">
      <c r="J63" s="19"/>
      <c r="K63" s="20"/>
      <c r="L63" s="20"/>
      <c r="M63" s="21"/>
      <c r="N63" s="20"/>
      <c r="O63" s="20"/>
      <c r="P63" s="20"/>
      <c r="Q63" s="21"/>
      <c r="V63" s="14" t="s">
        <v>102</v>
      </c>
      <c r="W63"/>
      <c r="X63" s="14">
        <v>62</v>
      </c>
      <c r="Y63"/>
      <c r="Z63"/>
    </row>
    <row r="64" spans="10:27" x14ac:dyDescent="0.3">
      <c r="J64" s="19"/>
      <c r="K64" s="20"/>
      <c r="L64" s="20"/>
      <c r="M64" s="21"/>
      <c r="N64" s="20"/>
      <c r="O64" s="20"/>
      <c r="P64" s="20"/>
      <c r="Q64" s="21"/>
      <c r="V64" s="14" t="s">
        <v>126</v>
      </c>
      <c r="W64"/>
      <c r="X64" s="14">
        <v>63</v>
      </c>
      <c r="Y64"/>
      <c r="Z64"/>
    </row>
    <row r="65" spans="10:26" x14ac:dyDescent="0.3">
      <c r="J65" s="19"/>
      <c r="K65" s="20"/>
      <c r="L65" s="20"/>
      <c r="M65" s="21"/>
      <c r="N65" s="20"/>
      <c r="O65" s="20"/>
      <c r="P65" s="20"/>
      <c r="Q65" s="21"/>
      <c r="V65" s="14" t="s">
        <v>127</v>
      </c>
      <c r="W65"/>
      <c r="X65" s="14">
        <v>64</v>
      </c>
      <c r="Y65"/>
      <c r="Z65"/>
    </row>
    <row r="66" spans="10:26" x14ac:dyDescent="0.3">
      <c r="J66" s="19"/>
      <c r="K66" s="20"/>
      <c r="L66" s="20"/>
      <c r="M66" s="21"/>
      <c r="N66" s="20"/>
      <c r="O66" s="20"/>
      <c r="P66" s="20"/>
      <c r="Q66" s="21"/>
      <c r="V66" s="14" t="s">
        <v>159</v>
      </c>
      <c r="W66"/>
      <c r="X66" s="14">
        <v>65</v>
      </c>
      <c r="Y66"/>
      <c r="Z66"/>
    </row>
    <row r="67" spans="10:26" x14ac:dyDescent="0.3">
      <c r="J67" s="19"/>
      <c r="K67" s="20"/>
      <c r="L67" s="20"/>
      <c r="M67" s="21"/>
      <c r="N67" s="20"/>
      <c r="O67" s="20"/>
      <c r="P67" s="20"/>
      <c r="Q67" s="21"/>
      <c r="V67" s="14" t="s">
        <v>73</v>
      </c>
      <c r="W67"/>
      <c r="X67" s="14">
        <v>66</v>
      </c>
      <c r="Y67"/>
      <c r="Z67"/>
    </row>
    <row r="68" spans="10:26" x14ac:dyDescent="0.3">
      <c r="J68" s="19"/>
      <c r="K68" s="20"/>
      <c r="L68" s="20"/>
      <c r="M68" s="21"/>
      <c r="N68" s="20"/>
      <c r="O68" s="20"/>
      <c r="P68" s="20"/>
      <c r="Q68" s="21"/>
      <c r="V68" s="14" t="s">
        <v>113</v>
      </c>
      <c r="W68"/>
      <c r="X68" s="14">
        <v>67</v>
      </c>
      <c r="Y68"/>
      <c r="Z68"/>
    </row>
    <row r="69" spans="10:26" x14ac:dyDescent="0.3">
      <c r="J69" s="19"/>
      <c r="K69" s="20"/>
      <c r="L69" s="20"/>
      <c r="M69" s="21"/>
      <c r="N69" s="20"/>
      <c r="O69" s="20"/>
      <c r="P69" s="20"/>
      <c r="Q69" s="21"/>
      <c r="V69" s="14" t="s">
        <v>44</v>
      </c>
      <c r="W69"/>
      <c r="X69" s="14">
        <v>68</v>
      </c>
      <c r="Y69"/>
      <c r="Z69"/>
    </row>
    <row r="70" spans="10:26" x14ac:dyDescent="0.3">
      <c r="J70" s="19"/>
      <c r="K70" s="20"/>
      <c r="L70" s="20"/>
      <c r="M70" s="21"/>
      <c r="N70" s="20"/>
      <c r="O70" s="20"/>
      <c r="P70" s="20"/>
      <c r="Q70" s="21"/>
      <c r="V70" s="14" t="s">
        <v>60</v>
      </c>
      <c r="W70"/>
      <c r="X70" s="14">
        <v>69</v>
      </c>
      <c r="Y70"/>
      <c r="Z70"/>
    </row>
    <row r="71" spans="10:26" x14ac:dyDescent="0.3">
      <c r="J71" s="19"/>
      <c r="K71" s="20"/>
      <c r="L71" s="20"/>
      <c r="M71" s="21"/>
      <c r="N71" s="20"/>
      <c r="O71" s="20"/>
      <c r="P71" s="20"/>
      <c r="Q71" s="21"/>
      <c r="V71" s="14" t="s">
        <v>128</v>
      </c>
      <c r="W71"/>
      <c r="X71" s="14">
        <v>70</v>
      </c>
      <c r="Y71"/>
    </row>
    <row r="72" spans="10:26" x14ac:dyDescent="0.3">
      <c r="J72" s="19"/>
      <c r="K72" s="20"/>
      <c r="L72" s="20"/>
      <c r="M72" s="21"/>
      <c r="N72" s="20"/>
      <c r="O72" s="20"/>
      <c r="P72" s="20"/>
      <c r="Q72" s="21"/>
      <c r="V72" s="14" t="s">
        <v>104</v>
      </c>
      <c r="W72"/>
      <c r="X72" s="14">
        <v>71</v>
      </c>
      <c r="Y72"/>
    </row>
    <row r="73" spans="10:26" x14ac:dyDescent="0.3">
      <c r="J73" s="19"/>
      <c r="K73" s="20"/>
      <c r="L73" s="20"/>
      <c r="M73" s="21"/>
      <c r="N73" s="20"/>
      <c r="O73" s="20"/>
      <c r="P73" s="20"/>
      <c r="Q73" s="21"/>
      <c r="V73" s="14" t="s">
        <v>160</v>
      </c>
      <c r="W73"/>
      <c r="X73" s="14">
        <v>72</v>
      </c>
      <c r="Y73"/>
    </row>
    <row r="74" spans="10:26" x14ac:dyDescent="0.3">
      <c r="J74" s="19"/>
      <c r="K74" s="20"/>
      <c r="L74" s="20"/>
      <c r="M74" s="21"/>
      <c r="N74" s="20"/>
      <c r="O74" s="20"/>
      <c r="P74" s="20"/>
      <c r="Q74" s="21"/>
      <c r="V74" s="14" t="s">
        <v>112</v>
      </c>
      <c r="W74"/>
      <c r="X74" s="14">
        <v>73</v>
      </c>
      <c r="Y74"/>
    </row>
    <row r="75" spans="10:26" x14ac:dyDescent="0.3">
      <c r="J75" s="19"/>
      <c r="K75" s="20"/>
      <c r="L75" s="20"/>
      <c r="M75" s="21"/>
      <c r="N75" s="20"/>
      <c r="O75" s="20"/>
      <c r="P75" s="20"/>
      <c r="Q75" s="21"/>
      <c r="V75" s="14" t="s">
        <v>83</v>
      </c>
      <c r="W75"/>
      <c r="X75" s="14">
        <v>74</v>
      </c>
      <c r="Y75"/>
    </row>
    <row r="76" spans="10:26" x14ac:dyDescent="0.3">
      <c r="J76" s="19"/>
      <c r="K76" s="20"/>
      <c r="L76" s="20"/>
      <c r="M76" s="21"/>
      <c r="N76" s="20"/>
      <c r="O76" s="20"/>
      <c r="P76" s="20"/>
      <c r="Q76" s="21"/>
      <c r="V76" s="14" t="s">
        <v>82</v>
      </c>
      <c r="W76"/>
      <c r="X76" s="14">
        <v>75</v>
      </c>
      <c r="Y76"/>
    </row>
    <row r="77" spans="10:26" x14ac:dyDescent="0.3">
      <c r="J77" s="19"/>
      <c r="K77" s="20"/>
      <c r="L77" s="20"/>
      <c r="M77" s="21"/>
      <c r="N77" s="20"/>
      <c r="O77" s="20"/>
      <c r="P77" s="20"/>
      <c r="Q77" s="21"/>
      <c r="V77" s="14" t="s">
        <v>96</v>
      </c>
      <c r="W77"/>
      <c r="X77" s="14">
        <v>76</v>
      </c>
      <c r="Y77"/>
    </row>
    <row r="78" spans="10:26" x14ac:dyDescent="0.3">
      <c r="J78" s="19"/>
      <c r="K78" s="20"/>
      <c r="L78" s="20"/>
      <c r="M78" s="21"/>
      <c r="N78" s="20"/>
      <c r="O78" s="20"/>
      <c r="P78" s="20"/>
      <c r="Q78" s="21"/>
      <c r="V78" s="14" t="s">
        <v>110</v>
      </c>
      <c r="W78"/>
      <c r="X78" s="14">
        <v>77</v>
      </c>
      <c r="Y78"/>
    </row>
    <row r="79" spans="10:26" x14ac:dyDescent="0.3">
      <c r="J79" s="19"/>
      <c r="K79" s="20"/>
      <c r="L79" s="20"/>
      <c r="M79" s="21"/>
      <c r="N79" s="20"/>
      <c r="O79" s="20"/>
      <c r="P79" s="20"/>
      <c r="Q79" s="21"/>
      <c r="V79" s="14" t="s">
        <v>95</v>
      </c>
      <c r="W79"/>
      <c r="X79" s="14">
        <v>78</v>
      </c>
      <c r="Y79"/>
    </row>
    <row r="80" spans="10:26" x14ac:dyDescent="0.3">
      <c r="J80" s="19"/>
      <c r="K80" s="20"/>
      <c r="L80" s="20"/>
      <c r="M80" s="21"/>
      <c r="N80" s="20"/>
      <c r="O80" s="20"/>
      <c r="P80" s="20"/>
      <c r="Q80" s="21"/>
      <c r="V80" s="14" t="s">
        <v>72</v>
      </c>
      <c r="W80"/>
      <c r="X80" s="14">
        <v>79</v>
      </c>
      <c r="Y80"/>
    </row>
    <row r="81" spans="10:25" x14ac:dyDescent="0.3">
      <c r="J81" s="19"/>
      <c r="K81" s="20"/>
      <c r="L81" s="20"/>
      <c r="M81" s="21"/>
      <c r="N81" s="20"/>
      <c r="O81" s="20"/>
      <c r="P81" s="20"/>
      <c r="Q81" s="21"/>
      <c r="V81" s="14" t="s">
        <v>69</v>
      </c>
      <c r="W81"/>
      <c r="X81" s="14">
        <v>80</v>
      </c>
      <c r="Y81"/>
    </row>
    <row r="82" spans="10:25" x14ac:dyDescent="0.3">
      <c r="J82" s="19"/>
      <c r="K82" s="20"/>
      <c r="L82" s="20"/>
      <c r="M82" s="21"/>
      <c r="N82" s="20"/>
      <c r="O82" s="20"/>
      <c r="P82" s="20"/>
      <c r="Q82" s="21"/>
      <c r="V82" s="14" t="s">
        <v>154</v>
      </c>
      <c r="W82"/>
      <c r="X82" s="14">
        <v>81</v>
      </c>
      <c r="Y82"/>
    </row>
    <row r="83" spans="10:25" x14ac:dyDescent="0.3">
      <c r="J83" s="19"/>
      <c r="K83" s="20"/>
      <c r="L83" s="20"/>
      <c r="M83" s="21"/>
      <c r="N83" s="20"/>
      <c r="O83" s="20"/>
      <c r="P83" s="20"/>
      <c r="Q83" s="21"/>
      <c r="V83" s="14" t="s">
        <v>155</v>
      </c>
      <c r="W83"/>
      <c r="X83" s="14">
        <v>82</v>
      </c>
      <c r="Y83"/>
    </row>
    <row r="84" spans="10:25" x14ac:dyDescent="0.3">
      <c r="J84" s="19"/>
      <c r="K84" s="20"/>
      <c r="L84" s="20"/>
      <c r="M84" s="21"/>
      <c r="N84" s="20"/>
      <c r="O84" s="20"/>
      <c r="P84" s="20"/>
      <c r="Q84" s="21"/>
      <c r="V84" s="14" t="s">
        <v>111</v>
      </c>
      <c r="W84"/>
      <c r="X84" s="14">
        <v>83</v>
      </c>
      <c r="Y84"/>
    </row>
    <row r="85" spans="10:25" x14ac:dyDescent="0.3">
      <c r="J85" s="19"/>
      <c r="K85" s="20"/>
      <c r="L85" s="20"/>
      <c r="M85" s="21"/>
      <c r="N85" s="20"/>
      <c r="O85" s="20"/>
      <c r="P85" s="20"/>
      <c r="Q85" s="21"/>
      <c r="V85" s="14" t="s">
        <v>157</v>
      </c>
      <c r="W85"/>
      <c r="X85" s="14">
        <v>84</v>
      </c>
      <c r="Y85"/>
    </row>
    <row r="86" spans="10:25" x14ac:dyDescent="0.3">
      <c r="J86" s="19"/>
      <c r="K86" s="20"/>
      <c r="L86" s="20"/>
      <c r="M86" s="21"/>
      <c r="N86" s="20"/>
      <c r="O86" s="20"/>
      <c r="P86" s="20"/>
      <c r="Q86" s="21"/>
      <c r="V86" s="14" t="s">
        <v>55</v>
      </c>
      <c r="W86"/>
      <c r="X86" s="14">
        <v>85</v>
      </c>
      <c r="Y86"/>
    </row>
    <row r="87" spans="10:25" x14ac:dyDescent="0.3">
      <c r="J87" s="19"/>
      <c r="K87" s="20"/>
      <c r="L87" s="20"/>
      <c r="M87" s="21"/>
      <c r="N87" s="20"/>
      <c r="O87" s="20"/>
      <c r="P87" s="20"/>
      <c r="Q87" s="21"/>
      <c r="V87" s="14" t="s">
        <v>116</v>
      </c>
      <c r="W87"/>
      <c r="X87" s="14">
        <v>86</v>
      </c>
      <c r="Y87"/>
    </row>
    <row r="88" spans="10:25" x14ac:dyDescent="0.3">
      <c r="J88" s="19"/>
      <c r="K88" s="20"/>
      <c r="L88" s="20"/>
      <c r="M88" s="21"/>
      <c r="N88" s="20"/>
      <c r="O88" s="20"/>
      <c r="P88" s="20"/>
      <c r="Q88" s="21"/>
      <c r="V88" s="14" t="s">
        <v>672</v>
      </c>
      <c r="W88"/>
      <c r="X88" s="14">
        <v>87</v>
      </c>
      <c r="Y88"/>
    </row>
    <row r="89" spans="10:25" x14ac:dyDescent="0.3">
      <c r="J89" s="19"/>
      <c r="K89" s="20"/>
      <c r="L89" s="20"/>
      <c r="M89" s="21"/>
      <c r="N89" s="20"/>
      <c r="O89" s="20"/>
      <c r="P89" s="20"/>
      <c r="Q89" s="21"/>
      <c r="V89" s="14" t="s">
        <v>699</v>
      </c>
      <c r="W89"/>
      <c r="X89" s="14">
        <v>88</v>
      </c>
      <c r="Y89"/>
    </row>
    <row r="90" spans="10:25" x14ac:dyDescent="0.3">
      <c r="J90" s="19"/>
      <c r="K90" s="20"/>
      <c r="L90" s="20"/>
      <c r="M90" s="21"/>
      <c r="N90" s="20"/>
      <c r="O90" s="20"/>
      <c r="P90" s="20"/>
      <c r="Q90" s="21"/>
      <c r="W90"/>
      <c r="X90" s="14">
        <v>89</v>
      </c>
      <c r="Y90"/>
    </row>
    <row r="91" spans="10:25" x14ac:dyDescent="0.3">
      <c r="J91" s="19"/>
      <c r="K91" s="20"/>
      <c r="L91" s="20"/>
      <c r="M91" s="21"/>
      <c r="N91" s="20"/>
      <c r="O91" s="20"/>
      <c r="P91" s="20"/>
      <c r="Q91" s="21"/>
      <c r="W91"/>
      <c r="X91" s="14">
        <v>90</v>
      </c>
      <c r="Y91"/>
    </row>
    <row r="92" spans="10:25" x14ac:dyDescent="0.3">
      <c r="J92" s="19"/>
      <c r="K92" s="20"/>
      <c r="L92" s="20"/>
      <c r="M92" s="21"/>
      <c r="N92" s="20"/>
      <c r="O92" s="20"/>
      <c r="P92" s="20"/>
      <c r="Q92" s="21"/>
      <c r="W92"/>
      <c r="X92" s="14">
        <v>91</v>
      </c>
      <c r="Y92"/>
    </row>
    <row r="93" spans="10:25" x14ac:dyDescent="0.3">
      <c r="J93" s="19"/>
      <c r="K93" s="20"/>
      <c r="L93" s="20"/>
      <c r="M93" s="21"/>
      <c r="N93" s="20"/>
      <c r="O93" s="20"/>
      <c r="P93" s="20"/>
      <c r="Q93" s="21"/>
      <c r="W93"/>
      <c r="X93" s="14">
        <v>92</v>
      </c>
      <c r="Y93"/>
    </row>
    <row r="94" spans="10:25" x14ac:dyDescent="0.3">
      <c r="J94" s="19"/>
      <c r="K94" s="20"/>
      <c r="L94" s="20"/>
      <c r="M94" s="21"/>
      <c r="N94" s="20"/>
      <c r="O94" s="20"/>
      <c r="P94" s="20"/>
      <c r="Q94" s="21"/>
      <c r="W94"/>
      <c r="X94" s="14">
        <v>93</v>
      </c>
      <c r="Y94"/>
    </row>
    <row r="95" spans="10:25" x14ac:dyDescent="0.3">
      <c r="J95" s="19"/>
      <c r="K95" s="20"/>
      <c r="L95" s="20"/>
      <c r="M95" s="21"/>
      <c r="N95" s="20"/>
      <c r="O95" s="20"/>
      <c r="P95" s="20"/>
      <c r="Q95" s="21"/>
      <c r="W95"/>
      <c r="X95" s="14">
        <v>94</v>
      </c>
      <c r="Y95"/>
    </row>
    <row r="96" spans="10:25" x14ac:dyDescent="0.3">
      <c r="J96" s="19"/>
      <c r="K96" s="20"/>
      <c r="L96" s="20"/>
      <c r="M96" s="21"/>
      <c r="N96" s="20"/>
      <c r="O96" s="20"/>
      <c r="P96" s="20"/>
      <c r="Q96" s="21"/>
      <c r="W96"/>
      <c r="X96" s="14">
        <v>95</v>
      </c>
      <c r="Y96"/>
    </row>
    <row r="97" spans="10:25" x14ac:dyDescent="0.3">
      <c r="J97" s="19"/>
      <c r="K97" s="20"/>
      <c r="L97" s="20"/>
      <c r="M97" s="21"/>
      <c r="N97" s="20"/>
      <c r="O97" s="20"/>
      <c r="P97" s="20"/>
      <c r="Q97" s="21"/>
      <c r="W97"/>
      <c r="X97" s="14">
        <v>96</v>
      </c>
      <c r="Y97"/>
    </row>
    <row r="98" spans="10:25" x14ac:dyDescent="0.3">
      <c r="J98" s="19"/>
      <c r="K98" s="20"/>
      <c r="L98" s="20"/>
      <c r="M98" s="21"/>
      <c r="N98" s="20"/>
      <c r="O98" s="20"/>
      <c r="P98" s="20"/>
      <c r="Q98" s="21"/>
      <c r="W98"/>
      <c r="X98" s="14">
        <v>97</v>
      </c>
      <c r="Y98"/>
    </row>
    <row r="99" spans="10:25" x14ac:dyDescent="0.3">
      <c r="J99" s="19"/>
      <c r="K99" s="20"/>
      <c r="L99" s="20"/>
      <c r="M99" s="21"/>
      <c r="N99" s="20"/>
      <c r="O99" s="20"/>
      <c r="P99" s="20"/>
      <c r="Q99" s="21"/>
      <c r="W99"/>
      <c r="X99" s="14">
        <v>98</v>
      </c>
      <c r="Y99"/>
    </row>
    <row r="100" spans="10:25" x14ac:dyDescent="0.3">
      <c r="J100" s="19"/>
      <c r="K100" s="20"/>
      <c r="L100" s="20"/>
      <c r="M100" s="21"/>
      <c r="N100" s="20"/>
      <c r="O100" s="20"/>
      <c r="P100" s="20"/>
      <c r="Q100" s="21"/>
      <c r="W100"/>
      <c r="X100" s="14">
        <v>99</v>
      </c>
      <c r="Y100"/>
    </row>
    <row r="101" spans="10:25" x14ac:dyDescent="0.3">
      <c r="J101" s="19"/>
      <c r="K101" s="20"/>
      <c r="L101" s="20"/>
      <c r="M101" s="21"/>
      <c r="N101" s="20"/>
      <c r="O101" s="20"/>
      <c r="P101" s="20"/>
      <c r="Q101" s="21"/>
      <c r="W101"/>
      <c r="X101" s="14">
        <v>100</v>
      </c>
      <c r="Y101"/>
    </row>
    <row r="102" spans="10:25" x14ac:dyDescent="0.3">
      <c r="J102" s="19"/>
      <c r="K102" s="20"/>
      <c r="L102" s="20"/>
      <c r="M102" s="21"/>
      <c r="N102" s="20"/>
      <c r="O102" s="20"/>
      <c r="P102" s="20"/>
      <c r="Q102" s="21"/>
      <c r="W102"/>
      <c r="X102" s="14">
        <v>101</v>
      </c>
      <c r="Y102"/>
    </row>
    <row r="103" spans="10:25" x14ac:dyDescent="0.3">
      <c r="J103" s="19"/>
      <c r="K103" s="20"/>
      <c r="L103" s="20"/>
      <c r="M103" s="21"/>
      <c r="N103" s="20"/>
      <c r="O103" s="20"/>
      <c r="P103" s="20"/>
      <c r="Q103" s="21"/>
      <c r="W103"/>
      <c r="X103" s="14">
        <v>102</v>
      </c>
      <c r="Y103"/>
    </row>
    <row r="104" spans="10:25" x14ac:dyDescent="0.3">
      <c r="J104" s="19"/>
      <c r="K104" s="20"/>
      <c r="L104" s="20"/>
      <c r="M104" s="21"/>
      <c r="N104" s="20"/>
      <c r="O104" s="20"/>
      <c r="P104" s="20"/>
      <c r="Q104" s="21"/>
      <c r="W104"/>
      <c r="X104" s="14">
        <v>103</v>
      </c>
      <c r="Y104"/>
    </row>
    <row r="105" spans="10:25" x14ac:dyDescent="0.3">
      <c r="J105" s="19"/>
      <c r="K105" s="20"/>
      <c r="L105" s="20"/>
      <c r="M105" s="21"/>
      <c r="N105" s="20"/>
      <c r="O105" s="20"/>
      <c r="P105" s="20"/>
      <c r="Q105" s="21"/>
      <c r="W105"/>
      <c r="X105" s="14">
        <v>104</v>
      </c>
      <c r="Y105"/>
    </row>
    <row r="106" spans="10:25" x14ac:dyDescent="0.3">
      <c r="J106" s="19"/>
      <c r="K106" s="20"/>
      <c r="L106" s="20"/>
      <c r="M106" s="21"/>
      <c r="N106" s="20"/>
      <c r="O106" s="20"/>
      <c r="P106" s="20"/>
      <c r="Q106" s="21"/>
      <c r="W106"/>
      <c r="X106" s="14">
        <v>105</v>
      </c>
      <c r="Y106"/>
    </row>
    <row r="107" spans="10:25" x14ac:dyDescent="0.3">
      <c r="J107" s="19"/>
      <c r="K107" s="20"/>
      <c r="L107" s="20"/>
      <c r="M107" s="21"/>
      <c r="N107" s="20"/>
      <c r="O107" s="20"/>
      <c r="P107" s="20"/>
      <c r="Q107" s="21"/>
      <c r="W107"/>
      <c r="X107" s="14">
        <v>106</v>
      </c>
      <c r="Y107"/>
    </row>
    <row r="108" spans="10:25" x14ac:dyDescent="0.3">
      <c r="J108" s="19"/>
      <c r="K108" s="20"/>
      <c r="L108" s="20"/>
      <c r="M108" s="21"/>
      <c r="N108" s="20"/>
      <c r="O108" s="20"/>
      <c r="P108" s="20"/>
      <c r="Q108" s="21"/>
      <c r="W108"/>
      <c r="X108" s="14">
        <v>107</v>
      </c>
      <c r="Y108"/>
    </row>
    <row r="109" spans="10:25" x14ac:dyDescent="0.3">
      <c r="J109" s="19"/>
      <c r="K109" s="20"/>
      <c r="L109" s="20"/>
      <c r="M109" s="21"/>
      <c r="N109" s="20"/>
      <c r="O109" s="20"/>
      <c r="P109" s="20"/>
      <c r="Q109" s="21"/>
      <c r="W109"/>
      <c r="X109" s="14">
        <v>108</v>
      </c>
      <c r="Y109"/>
    </row>
    <row r="110" spans="10:25" x14ac:dyDescent="0.3">
      <c r="J110" s="19"/>
      <c r="K110" s="20"/>
      <c r="L110" s="20"/>
      <c r="M110" s="21"/>
      <c r="N110" s="20"/>
      <c r="O110" s="20"/>
      <c r="P110" s="20"/>
      <c r="Q110" s="21"/>
      <c r="W110"/>
      <c r="X110" s="14">
        <v>109</v>
      </c>
      <c r="Y110"/>
    </row>
    <row r="111" spans="10:25" x14ac:dyDescent="0.3">
      <c r="J111" s="19"/>
      <c r="K111" s="20"/>
      <c r="L111" s="20"/>
      <c r="M111" s="21"/>
      <c r="N111" s="20"/>
      <c r="O111" s="20"/>
      <c r="P111" s="20"/>
      <c r="Q111" s="21"/>
      <c r="W111"/>
      <c r="X111" s="14">
        <v>110</v>
      </c>
      <c r="Y111"/>
    </row>
    <row r="112" spans="10:25" x14ac:dyDescent="0.3">
      <c r="J112" s="19"/>
      <c r="K112" s="20"/>
      <c r="L112" s="20"/>
      <c r="M112" s="21"/>
      <c r="N112" s="20"/>
      <c r="O112" s="20"/>
      <c r="P112" s="20"/>
      <c r="Q112" s="21"/>
      <c r="W112"/>
      <c r="X112" s="14">
        <v>111</v>
      </c>
      <c r="Y112"/>
    </row>
    <row r="113" spans="10:25" x14ac:dyDescent="0.3">
      <c r="J113" s="19"/>
      <c r="K113" s="20"/>
      <c r="L113" s="20"/>
      <c r="M113" s="21"/>
      <c r="N113" s="20"/>
      <c r="O113" s="20"/>
      <c r="P113" s="20"/>
      <c r="Q113" s="21"/>
      <c r="W113"/>
      <c r="X113" s="14">
        <v>112</v>
      </c>
      <c r="Y113"/>
    </row>
    <row r="114" spans="10:25" x14ac:dyDescent="0.3">
      <c r="J114" s="19"/>
      <c r="K114" s="20"/>
      <c r="L114" s="20"/>
      <c r="M114" s="21"/>
      <c r="N114" s="20"/>
      <c r="O114" s="20"/>
      <c r="P114" s="20"/>
      <c r="Q114" s="21"/>
      <c r="W114"/>
      <c r="X114" s="14">
        <v>113</v>
      </c>
      <c r="Y114"/>
    </row>
    <row r="115" spans="10:25" x14ac:dyDescent="0.3">
      <c r="J115" s="19"/>
      <c r="K115" s="20"/>
      <c r="L115" s="20"/>
      <c r="M115" s="21"/>
      <c r="N115" s="20"/>
      <c r="O115" s="20"/>
      <c r="P115" s="20"/>
      <c r="Q115" s="21"/>
      <c r="W115"/>
      <c r="X115" s="14">
        <v>114</v>
      </c>
      <c r="Y115"/>
    </row>
    <row r="116" spans="10:25" x14ac:dyDescent="0.3">
      <c r="J116" s="19"/>
      <c r="K116" s="20"/>
      <c r="L116" s="20"/>
      <c r="M116" s="21"/>
      <c r="N116" s="20"/>
      <c r="O116" s="20"/>
      <c r="P116" s="20"/>
      <c r="Q116" s="21"/>
      <c r="W116"/>
      <c r="X116" s="14">
        <v>115</v>
      </c>
      <c r="Y116"/>
    </row>
    <row r="117" spans="10:25" x14ac:dyDescent="0.3">
      <c r="J117" s="19"/>
      <c r="K117" s="20"/>
      <c r="L117" s="20"/>
      <c r="M117" s="21"/>
      <c r="N117" s="20"/>
      <c r="O117" s="20"/>
      <c r="P117" s="20"/>
      <c r="Q117" s="21"/>
      <c r="W117"/>
      <c r="X117" s="14">
        <v>116</v>
      </c>
      <c r="Y117"/>
    </row>
    <row r="118" spans="10:25" x14ac:dyDescent="0.3">
      <c r="J118" s="19"/>
      <c r="K118" s="20"/>
      <c r="L118" s="20"/>
      <c r="M118" s="21"/>
      <c r="N118" s="20"/>
      <c r="O118" s="20"/>
      <c r="P118" s="20"/>
      <c r="Q118" s="21"/>
      <c r="W118"/>
      <c r="X118" s="14">
        <v>117</v>
      </c>
      <c r="Y118"/>
    </row>
    <row r="119" spans="10:25" x14ac:dyDescent="0.3">
      <c r="J119" s="19"/>
      <c r="K119" s="20"/>
      <c r="L119" s="20"/>
      <c r="M119" s="21"/>
      <c r="N119" s="20"/>
      <c r="O119" s="20"/>
      <c r="P119" s="20"/>
      <c r="Q119" s="21"/>
      <c r="W119"/>
      <c r="X119" s="14">
        <v>118</v>
      </c>
      <c r="Y119"/>
    </row>
    <row r="120" spans="10:25" x14ac:dyDescent="0.3">
      <c r="J120" s="19"/>
      <c r="K120" s="20"/>
      <c r="L120" s="20"/>
      <c r="M120" s="21"/>
      <c r="N120" s="20"/>
      <c r="O120" s="20"/>
      <c r="P120" s="20"/>
      <c r="Q120" s="21"/>
      <c r="W120"/>
      <c r="X120" s="14">
        <v>119</v>
      </c>
      <c r="Y120"/>
    </row>
    <row r="121" spans="10:25" x14ac:dyDescent="0.3">
      <c r="J121" s="19"/>
      <c r="K121" s="20"/>
      <c r="L121" s="20"/>
      <c r="M121" s="21"/>
      <c r="N121" s="20"/>
      <c r="O121" s="20"/>
      <c r="P121" s="20"/>
      <c r="Q121" s="21"/>
      <c r="W121"/>
      <c r="X121" s="14">
        <v>120</v>
      </c>
      <c r="Y121"/>
    </row>
    <row r="122" spans="10:25" x14ac:dyDescent="0.3">
      <c r="J122" s="17"/>
      <c r="K122" s="17"/>
      <c r="L122" s="17"/>
      <c r="M122" s="17"/>
      <c r="N122" s="17"/>
      <c r="O122" s="17"/>
      <c r="P122" s="17"/>
      <c r="Q122" s="17"/>
      <c r="W122"/>
      <c r="X122" s="14">
        <v>121</v>
      </c>
    </row>
    <row r="123" spans="10:25" x14ac:dyDescent="0.3">
      <c r="J123" s="17"/>
      <c r="K123" s="17"/>
      <c r="L123" s="17"/>
      <c r="M123" s="17"/>
      <c r="N123" s="17"/>
      <c r="O123" s="17"/>
      <c r="P123" s="17"/>
      <c r="Q123" s="17"/>
      <c r="W123"/>
      <c r="X123" s="14">
        <v>122</v>
      </c>
    </row>
    <row r="124" spans="10:25" x14ac:dyDescent="0.3">
      <c r="J124" s="17"/>
      <c r="K124" s="17"/>
      <c r="L124" s="17"/>
      <c r="M124" s="17"/>
      <c r="N124" s="17"/>
      <c r="O124" s="17"/>
      <c r="P124" s="17"/>
      <c r="Q124" s="17"/>
      <c r="W124"/>
      <c r="X124" s="14">
        <v>123</v>
      </c>
    </row>
    <row r="125" spans="10:25" x14ac:dyDescent="0.3">
      <c r="J125" s="17"/>
      <c r="K125" s="17"/>
      <c r="L125" s="17"/>
      <c r="M125" s="17"/>
      <c r="N125" s="17"/>
      <c r="O125" s="17"/>
      <c r="P125" s="17"/>
      <c r="Q125" s="17"/>
      <c r="W125"/>
      <c r="X125" s="14">
        <v>124</v>
      </c>
    </row>
    <row r="126" spans="10:25" x14ac:dyDescent="0.3">
      <c r="J126" s="17"/>
      <c r="K126" s="17"/>
      <c r="L126" s="17"/>
      <c r="M126" s="17"/>
      <c r="N126" s="17"/>
      <c r="O126" s="17"/>
      <c r="P126" s="17"/>
      <c r="Q126" s="17"/>
      <c r="W126"/>
      <c r="X126" s="14">
        <v>125</v>
      </c>
    </row>
    <row r="127" spans="10:25" x14ac:dyDescent="0.3">
      <c r="J127" s="17"/>
      <c r="K127" s="17"/>
      <c r="L127" s="17"/>
      <c r="M127" s="17"/>
      <c r="N127" s="17"/>
      <c r="O127" s="17"/>
      <c r="P127" s="17"/>
      <c r="Q127" s="17"/>
      <c r="W127"/>
      <c r="X127" s="14">
        <v>126</v>
      </c>
    </row>
    <row r="128" spans="10:25" x14ac:dyDescent="0.3">
      <c r="J128" s="17"/>
      <c r="K128" s="17"/>
      <c r="L128" s="17"/>
      <c r="M128" s="17"/>
      <c r="N128" s="17"/>
      <c r="O128" s="17"/>
      <c r="P128" s="17"/>
      <c r="Q128" s="17"/>
      <c r="W128"/>
      <c r="X128" s="14">
        <v>127</v>
      </c>
    </row>
    <row r="129" spans="10:24" x14ac:dyDescent="0.3">
      <c r="J129" s="17"/>
      <c r="K129" s="17"/>
      <c r="L129" s="17"/>
      <c r="M129" s="17"/>
      <c r="N129" s="17"/>
      <c r="O129" s="17"/>
      <c r="P129" s="17"/>
      <c r="Q129" s="17"/>
      <c r="W129"/>
      <c r="X129" s="14">
        <v>128</v>
      </c>
    </row>
    <row r="130" spans="10:24" x14ac:dyDescent="0.3">
      <c r="J130" s="17"/>
      <c r="K130" s="17"/>
      <c r="L130" s="17"/>
      <c r="M130" s="17"/>
      <c r="N130" s="17"/>
      <c r="O130" s="17"/>
      <c r="P130" s="17"/>
      <c r="Q130" s="17"/>
      <c r="W130"/>
      <c r="X130" s="14">
        <v>129</v>
      </c>
    </row>
    <row r="131" spans="10:24" x14ac:dyDescent="0.3">
      <c r="J131" s="17"/>
      <c r="K131" s="17"/>
      <c r="L131" s="17"/>
      <c r="M131" s="17"/>
      <c r="N131" s="17"/>
      <c r="O131" s="17"/>
      <c r="P131" s="17"/>
      <c r="Q131" s="17"/>
      <c r="W131"/>
      <c r="X131" s="14">
        <v>130</v>
      </c>
    </row>
    <row r="132" spans="10:24" x14ac:dyDescent="0.3">
      <c r="J132" s="17"/>
      <c r="K132" s="17"/>
      <c r="L132" s="17"/>
      <c r="M132" s="17"/>
      <c r="N132" s="17"/>
      <c r="O132" s="17"/>
      <c r="P132" s="17"/>
      <c r="Q132" s="17"/>
      <c r="W132"/>
      <c r="X132" s="14">
        <v>131</v>
      </c>
    </row>
    <row r="133" spans="10:24" x14ac:dyDescent="0.3">
      <c r="J133" s="17"/>
      <c r="K133" s="17"/>
      <c r="L133" s="17"/>
      <c r="M133" s="17"/>
      <c r="N133" s="17"/>
      <c r="O133" s="17"/>
      <c r="P133" s="17"/>
      <c r="Q133" s="17"/>
      <c r="W133"/>
      <c r="X133" s="14">
        <v>132</v>
      </c>
    </row>
    <row r="134" spans="10:24" x14ac:dyDescent="0.3">
      <c r="J134" s="17"/>
      <c r="K134" s="17"/>
      <c r="L134" s="17"/>
      <c r="M134" s="17"/>
      <c r="N134" s="17"/>
      <c r="O134" s="17"/>
      <c r="P134" s="17"/>
      <c r="Q134" s="17"/>
      <c r="W134"/>
      <c r="X134" s="14">
        <v>133</v>
      </c>
    </row>
    <row r="135" spans="10:24" x14ac:dyDescent="0.3">
      <c r="J135" s="17"/>
      <c r="K135" s="17"/>
      <c r="L135" s="17"/>
      <c r="M135" s="17"/>
      <c r="N135" s="17"/>
      <c r="O135" s="17"/>
      <c r="P135" s="17"/>
      <c r="Q135" s="17"/>
      <c r="W135"/>
      <c r="X135" s="14">
        <v>134</v>
      </c>
    </row>
    <row r="136" spans="10:24" x14ac:dyDescent="0.3">
      <c r="J136" s="17"/>
      <c r="K136" s="17"/>
      <c r="L136" s="17"/>
      <c r="M136" s="17"/>
      <c r="N136" s="17"/>
      <c r="O136" s="17"/>
      <c r="P136" s="17"/>
      <c r="Q136" s="17"/>
      <c r="W136"/>
      <c r="X136" s="14">
        <v>135</v>
      </c>
    </row>
    <row r="137" spans="10:24" x14ac:dyDescent="0.3">
      <c r="J137" s="17"/>
      <c r="K137" s="17"/>
      <c r="L137" s="17"/>
      <c r="M137" s="17"/>
      <c r="N137" s="17"/>
      <c r="O137" s="17"/>
      <c r="P137" s="17"/>
      <c r="Q137" s="17"/>
      <c r="W137"/>
      <c r="X137" s="14">
        <v>136</v>
      </c>
    </row>
    <row r="138" spans="10:24" x14ac:dyDescent="0.3">
      <c r="J138" s="17"/>
      <c r="K138" s="17"/>
      <c r="L138" s="17"/>
      <c r="M138" s="17"/>
      <c r="N138" s="17"/>
      <c r="O138" s="17"/>
      <c r="P138" s="17"/>
      <c r="Q138" s="17"/>
      <c r="W138"/>
      <c r="X138" s="14">
        <v>137</v>
      </c>
    </row>
    <row r="139" spans="10:24" x14ac:dyDescent="0.3">
      <c r="J139" s="17"/>
      <c r="K139" s="17"/>
      <c r="L139" s="17"/>
      <c r="M139" s="17"/>
      <c r="N139" s="17"/>
      <c r="O139" s="17"/>
      <c r="P139" s="17"/>
      <c r="Q139" s="17"/>
      <c r="W139"/>
      <c r="X139" s="14">
        <v>138</v>
      </c>
    </row>
    <row r="140" spans="10:24" x14ac:dyDescent="0.3">
      <c r="J140" s="17"/>
      <c r="K140" s="17"/>
      <c r="L140" s="17"/>
      <c r="M140" s="17"/>
      <c r="N140" s="17"/>
      <c r="O140" s="17"/>
      <c r="P140" s="17"/>
      <c r="Q140" s="17"/>
      <c r="W140"/>
      <c r="X140" s="14">
        <v>139</v>
      </c>
    </row>
    <row r="141" spans="10:24" x14ac:dyDescent="0.3">
      <c r="J141" s="17"/>
      <c r="K141" s="17"/>
      <c r="L141" s="17"/>
      <c r="M141" s="17"/>
      <c r="N141" s="17"/>
      <c r="O141" s="17"/>
      <c r="P141" s="17"/>
      <c r="Q141" s="17"/>
      <c r="W141"/>
      <c r="X141" s="14">
        <v>140</v>
      </c>
    </row>
    <row r="142" spans="10:24" x14ac:dyDescent="0.3">
      <c r="J142" s="17"/>
      <c r="K142" s="17"/>
      <c r="L142" s="17"/>
      <c r="M142" s="17"/>
      <c r="N142" s="17"/>
      <c r="O142" s="17"/>
      <c r="P142" s="17"/>
      <c r="Q142" s="17"/>
      <c r="W142"/>
      <c r="X142" s="14">
        <v>141</v>
      </c>
    </row>
    <row r="143" spans="10:24" x14ac:dyDescent="0.3">
      <c r="J143" s="17"/>
      <c r="K143" s="17"/>
      <c r="L143" s="17"/>
      <c r="M143" s="17"/>
      <c r="N143" s="17"/>
      <c r="O143" s="17"/>
      <c r="P143" s="17"/>
      <c r="Q143" s="17"/>
      <c r="W143"/>
      <c r="X143" s="14">
        <v>142</v>
      </c>
    </row>
    <row r="144" spans="10:24" x14ac:dyDescent="0.3">
      <c r="J144" s="17"/>
      <c r="K144" s="17"/>
      <c r="L144" s="17"/>
      <c r="M144" s="17"/>
      <c r="N144" s="17"/>
      <c r="O144" s="17"/>
      <c r="P144" s="17"/>
      <c r="Q144" s="17"/>
      <c r="W144"/>
      <c r="X144" s="14">
        <v>143</v>
      </c>
    </row>
    <row r="145" spans="10:24" x14ac:dyDescent="0.3">
      <c r="J145" s="17"/>
      <c r="K145" s="17"/>
      <c r="L145" s="17"/>
      <c r="M145" s="17"/>
      <c r="N145" s="17"/>
      <c r="O145" s="17"/>
      <c r="P145" s="17"/>
      <c r="Q145" s="17"/>
      <c r="W145"/>
      <c r="X145" s="14">
        <v>144</v>
      </c>
    </row>
    <row r="146" spans="10:24" x14ac:dyDescent="0.3">
      <c r="J146" s="17"/>
      <c r="K146" s="17"/>
      <c r="L146" s="17"/>
      <c r="M146" s="17"/>
      <c r="N146" s="17"/>
      <c r="O146" s="17"/>
      <c r="P146" s="17"/>
      <c r="Q146" s="17"/>
      <c r="W146"/>
      <c r="X146" s="14">
        <v>145</v>
      </c>
    </row>
    <row r="147" spans="10:24" x14ac:dyDescent="0.3">
      <c r="J147" s="17"/>
      <c r="K147" s="17"/>
      <c r="L147" s="17"/>
      <c r="M147" s="17"/>
      <c r="N147" s="17"/>
      <c r="O147" s="17"/>
      <c r="P147" s="17"/>
      <c r="Q147" s="17"/>
      <c r="W147"/>
      <c r="X147" s="14">
        <v>146</v>
      </c>
    </row>
    <row r="148" spans="10:24" x14ac:dyDescent="0.3">
      <c r="J148" s="17"/>
      <c r="K148" s="17"/>
      <c r="L148" s="17"/>
      <c r="M148" s="17"/>
      <c r="N148" s="17"/>
      <c r="O148" s="17"/>
      <c r="P148" s="17"/>
      <c r="Q148" s="17"/>
      <c r="W148"/>
      <c r="X148" s="14">
        <v>147</v>
      </c>
    </row>
    <row r="149" spans="10:24" x14ac:dyDescent="0.3">
      <c r="J149" s="17"/>
      <c r="K149" s="17"/>
      <c r="L149" s="17"/>
      <c r="M149" s="17"/>
      <c r="N149" s="17"/>
      <c r="O149" s="17"/>
      <c r="P149" s="17"/>
      <c r="Q149" s="17"/>
      <c r="W149"/>
      <c r="X149" s="14">
        <v>148</v>
      </c>
    </row>
    <row r="150" spans="10:24" x14ac:dyDescent="0.3">
      <c r="J150" s="17"/>
      <c r="K150" s="17"/>
      <c r="L150" s="17"/>
      <c r="M150" s="17"/>
      <c r="N150" s="17"/>
      <c r="O150" s="17"/>
      <c r="P150" s="17"/>
      <c r="Q150" s="17"/>
      <c r="W150"/>
      <c r="X150" s="14">
        <v>149</v>
      </c>
    </row>
    <row r="151" spans="10:24" x14ac:dyDescent="0.3">
      <c r="J151" s="17"/>
      <c r="K151" s="17"/>
      <c r="L151" s="17"/>
      <c r="M151" s="17"/>
      <c r="N151" s="17"/>
      <c r="O151" s="17"/>
      <c r="P151" s="17"/>
      <c r="Q151" s="17"/>
      <c r="W151"/>
      <c r="X151" s="14">
        <v>150</v>
      </c>
    </row>
  </sheetData>
  <protectedRanges>
    <protectedRange sqref="S4" name="Range1_1"/>
  </protectedRanges>
  <autoFilter ref="V1:V150" xr:uid="{00000000-0009-0000-0000-000000000000}">
    <sortState xmlns:xlrd2="http://schemas.microsoft.com/office/spreadsheetml/2017/richdata2" ref="S2:Z151">
      <sortCondition ref="V1:V151"/>
    </sortState>
  </autoFilter>
  <sortState xmlns:xlrd2="http://schemas.microsoft.com/office/spreadsheetml/2017/richdata2" ref="U3:U21">
    <sortCondition ref="U3"/>
  </sortState>
  <mergeCells count="2">
    <mergeCell ref="B3:D3"/>
    <mergeCell ref="B4:D4"/>
  </mergeCells>
  <conditionalFormatting sqref="O2:Q121 J2:M121">
    <cfRule type="duplicateValues" dxfId="49" priority="2"/>
  </conditionalFormatting>
  <conditionalFormatting sqref="J1:M1 O1:Q1">
    <cfRule type="duplicateValues" dxfId="48" priority="1"/>
  </conditionalFormatting>
  <dataValidations count="6">
    <dataValidation errorStyle="warning" allowBlank="1" showInputMessage="1" showErrorMessage="1" errorTitle="Cập nhật nơi cách ly mới không?" sqref="D7" xr:uid="{00000000-0002-0000-0000-000000000000}"/>
    <dataValidation type="list" allowBlank="1" showInputMessage="1" showErrorMessage="1" sqref="B7" xr:uid="{00000000-0002-0000-0000-000001000000}">
      <formula1>OFFSET($U$3,0,0,COUNTA($U:$U),1)</formula1>
    </dataValidation>
    <dataValidation type="list" allowBlank="1" showInputMessage="1" showErrorMessage="1" sqref="B6" xr:uid="{00000000-0002-0000-0000-000002000000}">
      <formula1>OFFSET($T$2,0,0,COUNTA($T:$T),1)</formula1>
    </dataValidation>
    <dataValidation type="list" allowBlank="1" showInputMessage="1" showErrorMessage="1" sqref="D5" xr:uid="{00000000-0002-0000-0000-000003000000}">
      <formula1>OFFSET($S$2,0,0,COUNTA($S:$S),1)</formula1>
    </dataValidation>
    <dataValidation type="list" allowBlank="1" showInputMessage="1" showErrorMessage="1" sqref="B8" xr:uid="{00000000-0002-0000-0000-000004000000}">
      <formula1>OFFSET(#REF!,0,0,COUNTA($W:$W),1)</formula1>
    </dataValidation>
    <dataValidation type="list" allowBlank="1" showInputMessage="1" showErrorMessage="1" sqref="D6" xr:uid="{00000000-0002-0000-0000-000005000000}">
      <formula1>OFFSET($V$3,0,0,COUNTA($V:$V),1)</formula1>
    </dataValidation>
  </dataValidations>
  <pageMargins left="0.7" right="0.7" top="0.75" bottom="0.75" header="0.3" footer="0.3"/>
  <pageSetup orientation="portrait" horizontalDpi="300" verticalDpi="300" r:id="rId1"/>
  <ignoredErrors>
    <ignoredError sqref="D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ThisWorkbook.ExtractFile">
                <anchor>
                  <from>
                    <xdr:col>3</xdr:col>
                    <xdr:colOff>9525</xdr:colOff>
                    <xdr:row>12</xdr:row>
                    <xdr:rowOff>0</xdr:rowOff>
                  </from>
                  <to>
                    <xdr:col>3</xdr:col>
                    <xdr:colOff>1104900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ThisWorkbook.DataPax">
                <anchor moveWithCells="1" sizeWithCells="1">
                  <from>
                    <xdr:col>0</xdr:col>
                    <xdr:colOff>0</xdr:colOff>
                    <xdr:row>19</xdr:row>
                    <xdr:rowOff>19050</xdr:rowOff>
                  </from>
                  <to>
                    <xdr:col>1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6" name="Button 37">
              <controlPr defaultSize="0" print="0" autoFill="0" autoPict="0" macro="[0]!ThisWorkbook.DeleteDataPax">
                <anchor>
                  <from>
                    <xdr:col>3</xdr:col>
                    <xdr:colOff>9525</xdr:colOff>
                    <xdr:row>15</xdr:row>
                    <xdr:rowOff>19050</xdr:rowOff>
                  </from>
                  <to>
                    <xdr:col>3</xdr:col>
                    <xdr:colOff>1104900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" name="Button 42">
              <controlPr defaultSize="0" print="0" autoFill="0" autoPict="0" macro="[0]!ThisWorkbook.DataBase01">
                <anchor moveWithCells="1" sizeWithCells="1">
                  <from>
                    <xdr:col>0</xdr:col>
                    <xdr:colOff>9525</xdr:colOff>
                    <xdr:row>24</xdr:row>
                    <xdr:rowOff>38100</xdr:rowOff>
                  </from>
                  <to>
                    <xdr:col>1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Button 43">
              <controlPr defaultSize="0" print="0" autoFill="0" autoPict="0" macro="[0]!ThisWorkbook.DataBase02">
                <anchor moveWithCells="1" sizeWithCells="1">
                  <from>
                    <xdr:col>0</xdr:col>
                    <xdr:colOff>9525</xdr:colOff>
                    <xdr:row>25</xdr:row>
                    <xdr:rowOff>0</xdr:rowOff>
                  </from>
                  <to>
                    <xdr:col>1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9" name="Button 44">
              <controlPr defaultSize="0" print="0" autoFill="0" autoPict="0" macro="[0]!ThisWorkbook.DataBase03">
                <anchor moveWithCells="1" sizeWithCells="1">
                  <from>
                    <xdr:col>0</xdr:col>
                    <xdr:colOff>9525</xdr:colOff>
                    <xdr:row>25</xdr:row>
                    <xdr:rowOff>209550</xdr:rowOff>
                  </from>
                  <to>
                    <xdr:col>1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0" name="Button 45">
              <controlPr defaultSize="0" print="0" autoFill="0" autoPict="0" macro="[0]!ThisWorkbook.DataBase04">
                <anchor moveWithCells="1" sizeWithCells="1">
                  <from>
                    <xdr:col>0</xdr:col>
                    <xdr:colOff>9525</xdr:colOff>
                    <xdr:row>26</xdr:row>
                    <xdr:rowOff>209550</xdr:rowOff>
                  </from>
                  <to>
                    <xdr:col>1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1" name="Button 46">
              <controlPr defaultSize="0" print="0" autoFill="0" autoPict="0" macro="[0]!ThisWorkbook.DataBase05">
                <anchor moveWithCells="1" sizeWithCells="1">
                  <from>
                    <xdr:col>0</xdr:col>
                    <xdr:colOff>9525</xdr:colOff>
                    <xdr:row>27</xdr:row>
                    <xdr:rowOff>209550</xdr:rowOff>
                  </from>
                  <to>
                    <xdr:col>1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2" name="Button 47">
              <controlPr defaultSize="0" print="0" autoFill="0" autoPict="0" macro="[0]!ThisWorkbook.DataBase06">
                <anchor moveWithCells="1" sizeWithCells="1">
                  <from>
                    <xdr:col>0</xdr:col>
                    <xdr:colOff>9525</xdr:colOff>
                    <xdr:row>28</xdr:row>
                    <xdr:rowOff>209550</xdr:rowOff>
                  </from>
                  <to>
                    <xdr:col>1</xdr:col>
                    <xdr:colOff>9525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13" name="Button 62">
              <controlPr defaultSize="0" print="0" autoFill="0" autoPict="0" macro="[0]!ThisWorkbook.RunMain">
                <anchor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2</xdr:col>
                    <xdr:colOff>9525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4" name="Button 63">
              <controlPr defaultSize="0" print="0" autoFill="0" autoPict="0" macro="[0]!ThisWorkbook.Data">
                <anchor moveWithCells="1" sizeWithCells="1">
                  <from>
                    <xdr:col>0</xdr:col>
                    <xdr:colOff>0</xdr:colOff>
                    <xdr:row>31</xdr:row>
                    <xdr:rowOff>19050</xdr:rowOff>
                  </from>
                  <to>
                    <xdr:col>1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4"/>
  <sheetViews>
    <sheetView view="pageBreakPreview" zoomScaleNormal="100" zoomScaleSheetLayoutView="100" workbookViewId="0">
      <selection activeCell="B9" sqref="B9"/>
    </sheetView>
  </sheetViews>
  <sheetFormatPr defaultColWidth="9.140625" defaultRowHeight="15" x14ac:dyDescent="0.25"/>
  <cols>
    <col min="1" max="1" width="4.7109375" style="2" customWidth="1"/>
    <col min="2" max="2" width="27.42578125" style="2" customWidth="1"/>
    <col min="3" max="3" width="9.140625" style="2"/>
    <col min="4" max="4" width="7.5703125" style="2" bestFit="1" customWidth="1"/>
    <col min="5" max="5" width="10" style="2" bestFit="1" customWidth="1"/>
    <col min="6" max="6" width="12.140625" style="2" customWidth="1"/>
    <col min="7" max="7" width="11.85546875" style="2" bestFit="1" customWidth="1"/>
    <col min="8" max="8" width="17.140625" style="2" customWidth="1"/>
    <col min="9" max="16384" width="9.140625" style="2"/>
  </cols>
  <sheetData>
    <row r="1" spans="1:8" x14ac:dyDescent="0.25">
      <c r="A1" s="7" t="s">
        <v>186</v>
      </c>
      <c r="B1" s="7"/>
      <c r="C1" s="7"/>
      <c r="E1" s="8" t="s">
        <v>1</v>
      </c>
      <c r="F1" s="8"/>
      <c r="G1" s="8"/>
      <c r="H1" s="8"/>
    </row>
    <row r="2" spans="1:8" x14ac:dyDescent="0.25">
      <c r="A2" s="8" t="s">
        <v>187</v>
      </c>
      <c r="B2" s="7"/>
      <c r="C2" s="7"/>
      <c r="E2" s="7" t="s">
        <v>3</v>
      </c>
      <c r="F2" s="7"/>
      <c r="G2" s="7"/>
      <c r="H2" s="7"/>
    </row>
    <row r="3" spans="1:8" x14ac:dyDescent="0.25">
      <c r="E3" s="98" t="s">
        <v>4</v>
      </c>
      <c r="F3" s="98"/>
      <c r="G3" s="98"/>
      <c r="H3" s="98"/>
    </row>
    <row r="4" spans="1:8" x14ac:dyDescent="0.25">
      <c r="A4" s="99" t="s">
        <v>5</v>
      </c>
      <c r="B4" s="99"/>
      <c r="C4" s="99"/>
      <c r="D4" s="99"/>
      <c r="E4" s="99"/>
      <c r="F4" s="99"/>
      <c r="G4" s="99"/>
      <c r="H4" s="99"/>
    </row>
    <row r="5" spans="1:8" x14ac:dyDescent="0.25">
      <c r="A5" s="99" t="s">
        <v>6</v>
      </c>
      <c r="B5" s="99"/>
      <c r="C5" s="99"/>
      <c r="D5" s="99"/>
      <c r="E5" s="99"/>
      <c r="F5" s="99"/>
      <c r="G5" s="99"/>
      <c r="H5" s="99"/>
    </row>
    <row r="7" spans="1:8" x14ac:dyDescent="0.25">
      <c r="B7" s="9" t="str">
        <f xml:space="preserve"> "Chúng tôi gồm: " &amp; MAIN!B3</f>
        <v>Chúng tôi gồm: BS LÊ ĐẠI HOÀNG NGUYÊN</v>
      </c>
      <c r="C7" s="9"/>
      <c r="D7" s="9"/>
      <c r="E7" s="9"/>
      <c r="F7" s="9"/>
      <c r="G7" s="9"/>
      <c r="H7" s="10"/>
    </row>
    <row r="8" spans="1:8" x14ac:dyDescent="0.25">
      <c r="A8" s="2" t="s">
        <v>18</v>
      </c>
      <c r="B8" s="2" t="str">
        <f>"                       " &amp; MAIN!B4</f>
        <v xml:space="preserve">                       </v>
      </c>
    </row>
    <row r="9" spans="1:8" x14ac:dyDescent="0.25">
      <c r="B9" s="9" t="s">
        <v>188</v>
      </c>
      <c r="C9" s="9"/>
      <c r="D9" s="9"/>
      <c r="E9" s="9"/>
      <c r="F9" s="9"/>
      <c r="G9" s="9"/>
      <c r="H9" s="9"/>
    </row>
    <row r="10" spans="1:8" x14ac:dyDescent="0.25">
      <c r="B10" s="9" t="str">
        <f>"vùng dịch COVID-19 bao gồm " &amp; IF(COUNTIF(B13:B42,"&lt;&gt;"&amp;" ")&gt;0,COUNTIF(B13:B42,"&lt;&gt;"&amp;" "),"")  &amp; " khách"</f>
        <v>vùng dịch COVID-19 bao gồm  khách</v>
      </c>
      <c r="C10" s="10"/>
    </row>
    <row r="12" spans="1:8" x14ac:dyDescent="0.25">
      <c r="A12" s="3" t="s">
        <v>7</v>
      </c>
      <c r="B12" s="3" t="s">
        <v>8</v>
      </c>
      <c r="C12" s="3" t="s">
        <v>9</v>
      </c>
      <c r="D12" s="4" t="s">
        <v>10</v>
      </c>
      <c r="E12" s="3" t="s">
        <v>11</v>
      </c>
      <c r="F12" s="3" t="s">
        <v>12</v>
      </c>
      <c r="G12" s="3" t="s">
        <v>13</v>
      </c>
      <c r="H12" s="3" t="s">
        <v>14</v>
      </c>
    </row>
    <row r="13" spans="1:8" x14ac:dyDescent="0.25">
      <c r="A13" s="5">
        <v>1</v>
      </c>
      <c r="B13" s="11" t="str">
        <f>IF(MAIN!K2&lt;&gt;"",MAIN!K2," ")</f>
        <v xml:space="preserve"> </v>
      </c>
      <c r="C13" s="11" t="str">
        <f>IF(MAIN!L2&lt;&gt;"",MAIN!L2," ")</f>
        <v xml:space="preserve"> </v>
      </c>
      <c r="D13" s="11" t="str">
        <f>IF(MAIN!M2&lt;&gt;"",MAIN!M2," ")</f>
        <v xml:space="preserve"> </v>
      </c>
      <c r="E13" s="11" t="str">
        <f>IF(MAIN!N2&lt;&gt;"",MAIN!N2," ")</f>
        <v xml:space="preserve"> </v>
      </c>
      <c r="F13" s="11" t="str">
        <f>IF(MAIN!O2&lt;&gt;"",MAIN!O2," ")</f>
        <v xml:space="preserve"> </v>
      </c>
      <c r="G13" s="11" t="str">
        <f>IF(MAIN!P2&lt;&gt;"",MAIN!P2," ")</f>
        <v xml:space="preserve"> </v>
      </c>
      <c r="H13" s="12" t="str">
        <f>IF(MAIN!Q2&lt;&gt;"",MAIN!Q2," ")</f>
        <v xml:space="preserve"> </v>
      </c>
    </row>
    <row r="14" spans="1:8" x14ac:dyDescent="0.25">
      <c r="A14" s="5">
        <v>2</v>
      </c>
      <c r="B14" s="11" t="str">
        <f>IF(MAIN!K3&lt;&gt;"",MAIN!K3," ")</f>
        <v xml:space="preserve"> </v>
      </c>
      <c r="C14" s="11" t="str">
        <f>IF(MAIN!L3&lt;&gt;"",MAIN!L3," ")</f>
        <v xml:space="preserve"> </v>
      </c>
      <c r="D14" s="11" t="str">
        <f>IF(MAIN!M3&lt;&gt;"",MAIN!M3," ")</f>
        <v xml:space="preserve"> </v>
      </c>
      <c r="E14" s="11" t="str">
        <f>IF(MAIN!N3&lt;&gt;"",MAIN!N3," ")</f>
        <v xml:space="preserve"> </v>
      </c>
      <c r="F14" s="11" t="str">
        <f>IF(MAIN!O3&lt;&gt;"",MAIN!O3," ")</f>
        <v xml:space="preserve"> </v>
      </c>
      <c r="G14" s="11" t="str">
        <f>IF(MAIN!P3&lt;&gt;"",MAIN!P3," ")</f>
        <v xml:space="preserve"> </v>
      </c>
      <c r="H14" s="12" t="str">
        <f>IF(MAIN!Q3&lt;&gt;"",MAIN!Q3," ")</f>
        <v xml:space="preserve"> </v>
      </c>
    </row>
    <row r="15" spans="1:8" x14ac:dyDescent="0.25">
      <c r="A15" s="5">
        <v>3</v>
      </c>
      <c r="B15" s="11" t="str">
        <f>IF(MAIN!K4&lt;&gt;"",MAIN!K4," ")</f>
        <v xml:space="preserve"> </v>
      </c>
      <c r="C15" s="11" t="str">
        <f>IF(MAIN!L4&lt;&gt;"",MAIN!L4," ")</f>
        <v xml:space="preserve"> </v>
      </c>
      <c r="D15" s="11" t="str">
        <f>IF(MAIN!M4&lt;&gt;"",MAIN!M4," ")</f>
        <v xml:space="preserve"> </v>
      </c>
      <c r="E15" s="11" t="str">
        <f>IF(MAIN!N4&lt;&gt;"",MAIN!N4," ")</f>
        <v xml:space="preserve"> </v>
      </c>
      <c r="F15" s="11" t="str">
        <f>IF(MAIN!O4&lt;&gt;"",MAIN!O4," ")</f>
        <v xml:space="preserve"> </v>
      </c>
      <c r="G15" s="11" t="str">
        <f>IF(MAIN!P4&lt;&gt;"",MAIN!P4," ")</f>
        <v xml:space="preserve"> </v>
      </c>
      <c r="H15" s="12" t="str">
        <f>IF(MAIN!Q4&lt;&gt;"",MAIN!Q4," ")</f>
        <v xml:space="preserve"> </v>
      </c>
    </row>
    <row r="16" spans="1:8" x14ac:dyDescent="0.25">
      <c r="A16" s="5">
        <v>4</v>
      </c>
      <c r="B16" s="11" t="str">
        <f>IF(MAIN!K5&lt;&gt;"",MAIN!K5," ")</f>
        <v xml:space="preserve"> </v>
      </c>
      <c r="C16" s="11" t="str">
        <f>IF(MAIN!L5&lt;&gt;"",MAIN!L5," ")</f>
        <v xml:space="preserve"> </v>
      </c>
      <c r="D16" s="11" t="str">
        <f>IF(MAIN!M5&lt;&gt;"",MAIN!M5," ")</f>
        <v xml:space="preserve"> </v>
      </c>
      <c r="E16" s="11" t="str">
        <f>IF(MAIN!N5&lt;&gt;"",MAIN!N5," ")</f>
        <v xml:space="preserve"> </v>
      </c>
      <c r="F16" s="11" t="str">
        <f>IF(MAIN!O5&lt;&gt;"",MAIN!O5," ")</f>
        <v xml:space="preserve"> </v>
      </c>
      <c r="G16" s="11" t="str">
        <f>IF(MAIN!P5&lt;&gt;"",MAIN!P5," ")</f>
        <v xml:space="preserve"> </v>
      </c>
      <c r="H16" s="12" t="str">
        <f>IF(MAIN!Q5&lt;&gt;"",MAIN!Q5," ")</f>
        <v xml:space="preserve"> </v>
      </c>
    </row>
    <row r="17" spans="1:8" x14ac:dyDescent="0.25">
      <c r="A17" s="5">
        <v>5</v>
      </c>
      <c r="B17" s="11" t="str">
        <f>IF(MAIN!K6&lt;&gt;"",MAIN!K6," ")</f>
        <v xml:space="preserve"> </v>
      </c>
      <c r="C17" s="11" t="str">
        <f>IF(MAIN!L6&lt;&gt;"",MAIN!L6," ")</f>
        <v xml:space="preserve"> </v>
      </c>
      <c r="D17" s="11" t="str">
        <f>IF(MAIN!M6&lt;&gt;"",MAIN!M6," ")</f>
        <v xml:space="preserve"> </v>
      </c>
      <c r="E17" s="11" t="str">
        <f>IF(MAIN!N6&lt;&gt;"",MAIN!N6," ")</f>
        <v xml:space="preserve"> </v>
      </c>
      <c r="F17" s="11" t="str">
        <f>IF(MAIN!O6&lt;&gt;"",MAIN!O6," ")</f>
        <v xml:space="preserve"> </v>
      </c>
      <c r="G17" s="11" t="str">
        <f>IF(MAIN!P6&lt;&gt;"",MAIN!P6," ")</f>
        <v xml:space="preserve"> </v>
      </c>
      <c r="H17" s="12" t="str">
        <f>IF(MAIN!Q6&lt;&gt;"",MAIN!Q6," ")</f>
        <v xml:space="preserve"> </v>
      </c>
    </row>
    <row r="18" spans="1:8" x14ac:dyDescent="0.25">
      <c r="A18" s="5">
        <v>6</v>
      </c>
      <c r="B18" s="11" t="str">
        <f>IF(MAIN!K7&lt;&gt;"",MAIN!K7," ")</f>
        <v xml:space="preserve"> </v>
      </c>
      <c r="C18" s="11" t="str">
        <f>IF(MAIN!L7&lt;&gt;"",MAIN!L7," ")</f>
        <v xml:space="preserve"> </v>
      </c>
      <c r="D18" s="11" t="str">
        <f>IF(MAIN!M7&lt;&gt;"",MAIN!M7," ")</f>
        <v xml:space="preserve"> </v>
      </c>
      <c r="E18" s="11" t="str">
        <f>IF(MAIN!N7&lt;&gt;"",MAIN!N7," ")</f>
        <v xml:space="preserve"> </v>
      </c>
      <c r="F18" s="11" t="str">
        <f>IF(MAIN!O7&lt;&gt;"",MAIN!O7," ")</f>
        <v xml:space="preserve"> </v>
      </c>
      <c r="G18" s="11" t="str">
        <f>IF(MAIN!P7&lt;&gt;"",MAIN!P7," ")</f>
        <v xml:space="preserve"> </v>
      </c>
      <c r="H18" s="12" t="str">
        <f>IF(MAIN!Q7&lt;&gt;"",MAIN!Q7," ")</f>
        <v xml:space="preserve"> </v>
      </c>
    </row>
    <row r="19" spans="1:8" x14ac:dyDescent="0.25">
      <c r="A19" s="5">
        <v>7</v>
      </c>
      <c r="B19" s="11" t="str">
        <f>IF(MAIN!K8&lt;&gt;"",MAIN!K8," ")</f>
        <v xml:space="preserve"> </v>
      </c>
      <c r="C19" s="11" t="str">
        <f>IF(MAIN!L8&lt;&gt;"",MAIN!L8," ")</f>
        <v xml:space="preserve"> </v>
      </c>
      <c r="D19" s="11" t="str">
        <f>IF(MAIN!M8&lt;&gt;"",MAIN!M8," ")</f>
        <v xml:space="preserve"> </v>
      </c>
      <c r="E19" s="11" t="str">
        <f>IF(MAIN!N8&lt;&gt;"",MAIN!N8," ")</f>
        <v xml:space="preserve"> </v>
      </c>
      <c r="F19" s="11" t="str">
        <f>IF(MAIN!O8&lt;&gt;"",MAIN!O8," ")</f>
        <v xml:space="preserve"> </v>
      </c>
      <c r="G19" s="11" t="str">
        <f>IF(MAIN!P8&lt;&gt;"",MAIN!P8," ")</f>
        <v xml:space="preserve"> </v>
      </c>
      <c r="H19" s="12" t="str">
        <f>IF(MAIN!Q8&lt;&gt;"",MAIN!Q8," ")</f>
        <v xml:space="preserve"> </v>
      </c>
    </row>
    <row r="20" spans="1:8" x14ac:dyDescent="0.25">
      <c r="A20" s="5">
        <v>8</v>
      </c>
      <c r="B20" s="11" t="str">
        <f>IF(MAIN!K9&lt;&gt;"",MAIN!K9," ")</f>
        <v xml:space="preserve"> </v>
      </c>
      <c r="C20" s="11" t="str">
        <f>IF(MAIN!L9&lt;&gt;"",MAIN!L9," ")</f>
        <v xml:space="preserve"> </v>
      </c>
      <c r="D20" s="11" t="str">
        <f>IF(MAIN!M9&lt;&gt;"",MAIN!M9," ")</f>
        <v xml:space="preserve"> </v>
      </c>
      <c r="E20" s="11" t="str">
        <f>IF(MAIN!N9&lt;&gt;"",MAIN!N9," ")</f>
        <v xml:space="preserve"> </v>
      </c>
      <c r="F20" s="11" t="str">
        <f>IF(MAIN!O9&lt;&gt;"",MAIN!O9," ")</f>
        <v xml:space="preserve"> </v>
      </c>
      <c r="G20" s="11" t="str">
        <f>IF(MAIN!P9&lt;&gt;"",MAIN!P9," ")</f>
        <v xml:space="preserve"> </v>
      </c>
      <c r="H20" s="12" t="str">
        <f>IF(MAIN!Q9&lt;&gt;"",MAIN!Q9," ")</f>
        <v xml:space="preserve"> </v>
      </c>
    </row>
    <row r="21" spans="1:8" x14ac:dyDescent="0.25">
      <c r="A21" s="5">
        <v>9</v>
      </c>
      <c r="B21" s="11" t="str">
        <f>IF(MAIN!K10&lt;&gt;"",MAIN!K10," ")</f>
        <v xml:space="preserve"> </v>
      </c>
      <c r="C21" s="11" t="str">
        <f>IF(MAIN!L10&lt;&gt;"",MAIN!L10," ")</f>
        <v xml:space="preserve"> </v>
      </c>
      <c r="D21" s="11" t="str">
        <f>IF(MAIN!M10&lt;&gt;"",MAIN!M10," ")</f>
        <v xml:space="preserve"> </v>
      </c>
      <c r="E21" s="11" t="str">
        <f>IF(MAIN!N10&lt;&gt;"",MAIN!N10," ")</f>
        <v xml:space="preserve"> </v>
      </c>
      <c r="F21" s="11" t="str">
        <f>IF(MAIN!O10&lt;&gt;"",MAIN!O10," ")</f>
        <v xml:space="preserve"> </v>
      </c>
      <c r="G21" s="11" t="str">
        <f>IF(MAIN!P10&lt;&gt;"",MAIN!P10," ")</f>
        <v xml:space="preserve"> </v>
      </c>
      <c r="H21" s="12" t="str">
        <f>IF(MAIN!Q10&lt;&gt;"",MAIN!Q10," ")</f>
        <v xml:space="preserve"> </v>
      </c>
    </row>
    <row r="22" spans="1:8" x14ac:dyDescent="0.25">
      <c r="A22" s="5">
        <v>10</v>
      </c>
      <c r="B22" s="11" t="str">
        <f>IF(MAIN!K11&lt;&gt;"",MAIN!K11," ")</f>
        <v xml:space="preserve"> </v>
      </c>
      <c r="C22" s="11" t="str">
        <f>IF(MAIN!L11&lt;&gt;"",MAIN!L11," ")</f>
        <v xml:space="preserve"> </v>
      </c>
      <c r="D22" s="11" t="str">
        <f>IF(MAIN!M11&lt;&gt;"",MAIN!M11," ")</f>
        <v xml:space="preserve"> </v>
      </c>
      <c r="E22" s="11" t="str">
        <f>IF(MAIN!N11&lt;&gt;"",MAIN!N11," ")</f>
        <v xml:space="preserve"> </v>
      </c>
      <c r="F22" s="11" t="str">
        <f>IF(MAIN!O11&lt;&gt;"",MAIN!O11," ")</f>
        <v xml:space="preserve"> </v>
      </c>
      <c r="G22" s="11" t="str">
        <f>IF(MAIN!P11&lt;&gt;"",MAIN!P11," ")</f>
        <v xml:space="preserve"> </v>
      </c>
      <c r="H22" s="12" t="str">
        <f>IF(MAIN!Q11&lt;&gt;"",MAIN!Q11," ")</f>
        <v xml:space="preserve"> </v>
      </c>
    </row>
    <row r="23" spans="1:8" x14ac:dyDescent="0.25">
      <c r="A23" s="5">
        <v>11</v>
      </c>
      <c r="B23" s="11" t="str">
        <f>IF(MAIN!K12&lt;&gt;"",MAIN!K12," ")</f>
        <v xml:space="preserve"> </v>
      </c>
      <c r="C23" s="11" t="str">
        <f>IF(MAIN!L12&lt;&gt;"",MAIN!L12," ")</f>
        <v xml:space="preserve"> </v>
      </c>
      <c r="D23" s="11" t="str">
        <f>IF(MAIN!M12&lt;&gt;"",MAIN!M12," ")</f>
        <v xml:space="preserve"> </v>
      </c>
      <c r="E23" s="11" t="str">
        <f>IF(MAIN!N12&lt;&gt;"",MAIN!N12," ")</f>
        <v xml:space="preserve"> </v>
      </c>
      <c r="F23" s="11" t="str">
        <f>IF(MAIN!O12&lt;&gt;"",MAIN!O12," ")</f>
        <v xml:space="preserve"> </v>
      </c>
      <c r="G23" s="11" t="str">
        <f>IF(MAIN!P12&lt;&gt;"",MAIN!P12," ")</f>
        <v xml:space="preserve"> </v>
      </c>
      <c r="H23" s="12" t="str">
        <f>IF(MAIN!Q12&lt;&gt;"",MAIN!Q12," ")</f>
        <v xml:space="preserve"> </v>
      </c>
    </row>
    <row r="24" spans="1:8" x14ac:dyDescent="0.25">
      <c r="A24" s="5">
        <v>12</v>
      </c>
      <c r="B24" s="11" t="str">
        <f>IF(MAIN!K13&lt;&gt;"",MAIN!K13," ")</f>
        <v xml:space="preserve"> </v>
      </c>
      <c r="C24" s="11" t="str">
        <f>IF(MAIN!L13&lt;&gt;"",MAIN!L13," ")</f>
        <v xml:space="preserve"> </v>
      </c>
      <c r="D24" s="11" t="str">
        <f>IF(MAIN!M13&lt;&gt;"",MAIN!M13," ")</f>
        <v xml:space="preserve"> </v>
      </c>
      <c r="E24" s="11" t="str">
        <f>IF(MAIN!N13&lt;&gt;"",MAIN!N13," ")</f>
        <v xml:space="preserve"> </v>
      </c>
      <c r="F24" s="11" t="str">
        <f>IF(MAIN!O13&lt;&gt;"",MAIN!O13," ")</f>
        <v xml:space="preserve"> </v>
      </c>
      <c r="G24" s="11" t="str">
        <f>IF(MAIN!P13&lt;&gt;"",MAIN!P13," ")</f>
        <v xml:space="preserve"> </v>
      </c>
      <c r="H24" s="12" t="str">
        <f>IF(MAIN!Q13&lt;&gt;"",MAIN!Q13," ")</f>
        <v xml:space="preserve"> </v>
      </c>
    </row>
    <row r="25" spans="1:8" x14ac:dyDescent="0.25">
      <c r="A25" s="5">
        <v>13</v>
      </c>
      <c r="B25" s="11" t="str">
        <f>IF(MAIN!K14&lt;&gt;"",MAIN!K14," ")</f>
        <v xml:space="preserve"> </v>
      </c>
      <c r="C25" s="11" t="str">
        <f>IF(MAIN!L14&lt;&gt;"",MAIN!L14," ")</f>
        <v xml:space="preserve"> </v>
      </c>
      <c r="D25" s="11" t="str">
        <f>IF(MAIN!M14&lt;&gt;"",MAIN!M14," ")</f>
        <v xml:space="preserve"> </v>
      </c>
      <c r="E25" s="11" t="str">
        <f>IF(MAIN!N14&lt;&gt;"",MAIN!N14," ")</f>
        <v xml:space="preserve"> </v>
      </c>
      <c r="F25" s="11" t="str">
        <f>IF(MAIN!O14&lt;&gt;"",MAIN!O14," ")</f>
        <v xml:space="preserve"> </v>
      </c>
      <c r="G25" s="11" t="str">
        <f>IF(MAIN!P14&lt;&gt;"",MAIN!P14," ")</f>
        <v xml:space="preserve"> </v>
      </c>
      <c r="H25" s="12" t="str">
        <f>IF(MAIN!Q14&lt;&gt;"",MAIN!Q14," ")</f>
        <v xml:space="preserve"> </v>
      </c>
    </row>
    <row r="26" spans="1:8" x14ac:dyDescent="0.25">
      <c r="A26" s="5">
        <v>14</v>
      </c>
      <c r="B26" s="11" t="str">
        <f>IF(MAIN!K15&lt;&gt;"",MAIN!K15," ")</f>
        <v xml:space="preserve"> </v>
      </c>
      <c r="C26" s="11" t="str">
        <f>IF(MAIN!L15&lt;&gt;"",MAIN!L15," ")</f>
        <v xml:space="preserve"> </v>
      </c>
      <c r="D26" s="11" t="str">
        <f>IF(MAIN!M15&lt;&gt;"",MAIN!M15," ")</f>
        <v xml:space="preserve"> </v>
      </c>
      <c r="E26" s="11" t="str">
        <f>IF(MAIN!N15&lt;&gt;"",MAIN!N15," ")</f>
        <v xml:space="preserve"> </v>
      </c>
      <c r="F26" s="11" t="str">
        <f>IF(MAIN!O15&lt;&gt;"",MAIN!O15," ")</f>
        <v xml:space="preserve"> </v>
      </c>
      <c r="G26" s="11" t="str">
        <f>IF(MAIN!P15&lt;&gt;"",MAIN!P15," ")</f>
        <v xml:space="preserve"> </v>
      </c>
      <c r="H26" s="12" t="str">
        <f>IF(MAIN!Q15&lt;&gt;"",MAIN!Q15," ")</f>
        <v xml:space="preserve"> </v>
      </c>
    </row>
    <row r="27" spans="1:8" x14ac:dyDescent="0.25">
      <c r="A27" s="5">
        <v>15</v>
      </c>
      <c r="B27" s="11" t="str">
        <f>IF(MAIN!K16&lt;&gt;"",MAIN!K16," ")</f>
        <v xml:space="preserve"> </v>
      </c>
      <c r="C27" s="11" t="str">
        <f>IF(MAIN!L16&lt;&gt;"",MAIN!L16," ")</f>
        <v xml:space="preserve"> </v>
      </c>
      <c r="D27" s="11" t="str">
        <f>IF(MAIN!M16&lt;&gt;"",MAIN!M16," ")</f>
        <v xml:space="preserve"> </v>
      </c>
      <c r="E27" s="11" t="str">
        <f>IF(MAIN!N16&lt;&gt;"",MAIN!N16," ")</f>
        <v xml:space="preserve"> </v>
      </c>
      <c r="F27" s="11" t="str">
        <f>IF(MAIN!O16&lt;&gt;"",MAIN!O16," ")</f>
        <v xml:space="preserve"> </v>
      </c>
      <c r="G27" s="11" t="str">
        <f>IF(MAIN!P16&lt;&gt;"",MAIN!P16," ")</f>
        <v xml:space="preserve"> </v>
      </c>
      <c r="H27" s="12" t="str">
        <f>IF(MAIN!Q16&lt;&gt;"",MAIN!Q16," ")</f>
        <v xml:space="preserve"> </v>
      </c>
    </row>
    <row r="28" spans="1:8" x14ac:dyDescent="0.25">
      <c r="A28" s="5">
        <v>16</v>
      </c>
      <c r="B28" s="11" t="str">
        <f>IF(MAIN!K17&lt;&gt;"",MAIN!K17," ")</f>
        <v xml:space="preserve"> </v>
      </c>
      <c r="C28" s="11" t="str">
        <f>IF(MAIN!L17&lt;&gt;"",MAIN!L17," ")</f>
        <v xml:space="preserve"> </v>
      </c>
      <c r="D28" s="11" t="str">
        <f>IF(MAIN!M17&lt;&gt;"",MAIN!M17," ")</f>
        <v xml:space="preserve"> </v>
      </c>
      <c r="E28" s="11" t="str">
        <f>IF(MAIN!N17&lt;&gt;"",MAIN!N17," ")</f>
        <v xml:space="preserve"> </v>
      </c>
      <c r="F28" s="11" t="str">
        <f>IF(MAIN!O17&lt;&gt;"",MAIN!O17," ")</f>
        <v xml:space="preserve"> </v>
      </c>
      <c r="G28" s="11" t="str">
        <f>IF(MAIN!P17&lt;&gt;"",MAIN!P17," ")</f>
        <v xml:space="preserve"> </v>
      </c>
      <c r="H28" s="12" t="str">
        <f>IF(MAIN!Q17&lt;&gt;"",MAIN!Q17," ")</f>
        <v xml:space="preserve"> </v>
      </c>
    </row>
    <row r="29" spans="1:8" x14ac:dyDescent="0.25">
      <c r="A29" s="5">
        <v>17</v>
      </c>
      <c r="B29" s="11" t="str">
        <f>IF(MAIN!K18&lt;&gt;"",MAIN!K18," ")</f>
        <v xml:space="preserve"> </v>
      </c>
      <c r="C29" s="11" t="str">
        <f>IF(MAIN!L18&lt;&gt;"",MAIN!L18," ")</f>
        <v xml:space="preserve"> </v>
      </c>
      <c r="D29" s="11" t="str">
        <f>IF(MAIN!M18&lt;&gt;"",MAIN!M18," ")</f>
        <v xml:space="preserve"> </v>
      </c>
      <c r="E29" s="11" t="str">
        <f>IF(MAIN!N18&lt;&gt;"",MAIN!N18," ")</f>
        <v xml:space="preserve"> </v>
      </c>
      <c r="F29" s="11" t="str">
        <f>IF(MAIN!O18&lt;&gt;"",MAIN!O18," ")</f>
        <v xml:space="preserve"> </v>
      </c>
      <c r="G29" s="11" t="str">
        <f>IF(MAIN!P18&lt;&gt;"",MAIN!P18," ")</f>
        <v xml:space="preserve"> </v>
      </c>
      <c r="H29" s="12" t="str">
        <f>IF(MAIN!Q18&lt;&gt;"",MAIN!Q18," ")</f>
        <v xml:space="preserve"> </v>
      </c>
    </row>
    <row r="30" spans="1:8" x14ac:dyDescent="0.25">
      <c r="A30" s="5">
        <v>18</v>
      </c>
      <c r="B30" s="11" t="str">
        <f>IF(MAIN!K19&lt;&gt;"",MAIN!K19," ")</f>
        <v xml:space="preserve"> </v>
      </c>
      <c r="C30" s="11" t="str">
        <f>IF(MAIN!L19&lt;&gt;"",MAIN!L19," ")</f>
        <v xml:space="preserve"> </v>
      </c>
      <c r="D30" s="11" t="str">
        <f>IF(MAIN!M19&lt;&gt;"",MAIN!M19," ")</f>
        <v xml:space="preserve"> </v>
      </c>
      <c r="E30" s="11" t="str">
        <f>IF(MAIN!N19&lt;&gt;"",MAIN!N19," ")</f>
        <v xml:space="preserve"> </v>
      </c>
      <c r="F30" s="11" t="str">
        <f>IF(MAIN!O19&lt;&gt;"",MAIN!O19," ")</f>
        <v xml:space="preserve"> </v>
      </c>
      <c r="G30" s="11" t="str">
        <f>IF(MAIN!P19&lt;&gt;"",MAIN!P19," ")</f>
        <v xml:space="preserve"> </v>
      </c>
      <c r="H30" s="12" t="str">
        <f>IF(MAIN!Q19&lt;&gt;"",MAIN!Q19," ")</f>
        <v xml:space="preserve"> </v>
      </c>
    </row>
    <row r="31" spans="1:8" x14ac:dyDescent="0.25">
      <c r="A31" s="5">
        <v>19</v>
      </c>
      <c r="B31" s="11" t="str">
        <f>IF(MAIN!K20&lt;&gt;"",MAIN!K20," ")</f>
        <v xml:space="preserve"> </v>
      </c>
      <c r="C31" s="11" t="str">
        <f>IF(MAIN!L20&lt;&gt;"",MAIN!L20," ")</f>
        <v xml:space="preserve"> </v>
      </c>
      <c r="D31" s="11" t="str">
        <f>IF(MAIN!M20&lt;&gt;"",MAIN!M20," ")</f>
        <v xml:space="preserve"> </v>
      </c>
      <c r="E31" s="11" t="str">
        <f>IF(MAIN!N20&lt;&gt;"",MAIN!N20," ")</f>
        <v xml:space="preserve"> </v>
      </c>
      <c r="F31" s="11" t="str">
        <f>IF(MAIN!O20&lt;&gt;"",MAIN!O20," ")</f>
        <v xml:space="preserve"> </v>
      </c>
      <c r="G31" s="11" t="str">
        <f>IF(MAIN!P20&lt;&gt;"",MAIN!P20," ")</f>
        <v xml:space="preserve"> </v>
      </c>
      <c r="H31" s="12" t="str">
        <f>IF(MAIN!Q20&lt;&gt;"",MAIN!Q20," ")</f>
        <v xml:space="preserve"> </v>
      </c>
    </row>
    <row r="32" spans="1:8" x14ac:dyDescent="0.25">
      <c r="A32" s="5">
        <v>20</v>
      </c>
      <c r="B32" s="11" t="str">
        <f>IF(MAIN!K21&lt;&gt;"",MAIN!K21," ")</f>
        <v xml:space="preserve"> </v>
      </c>
      <c r="C32" s="11" t="str">
        <f>IF(MAIN!L21&lt;&gt;"",MAIN!L21," ")</f>
        <v xml:space="preserve"> </v>
      </c>
      <c r="D32" s="11" t="str">
        <f>IF(MAIN!M21&lt;&gt;"",MAIN!M21," ")</f>
        <v xml:space="preserve"> </v>
      </c>
      <c r="E32" s="11" t="str">
        <f>IF(MAIN!N21&lt;&gt;"",MAIN!N21," ")</f>
        <v xml:space="preserve"> </v>
      </c>
      <c r="F32" s="11" t="str">
        <f>IF(MAIN!O21&lt;&gt;"",MAIN!O21," ")</f>
        <v xml:space="preserve"> </v>
      </c>
      <c r="G32" s="11" t="str">
        <f>IF(MAIN!P21&lt;&gt;"",MAIN!P21," ")</f>
        <v xml:space="preserve"> </v>
      </c>
      <c r="H32" s="12" t="str">
        <f>IF(MAIN!Q21&lt;&gt;"",MAIN!Q21," ")</f>
        <v xml:space="preserve"> </v>
      </c>
    </row>
    <row r="33" spans="1:8" x14ac:dyDescent="0.25">
      <c r="A33" s="5">
        <v>21</v>
      </c>
      <c r="B33" s="11" t="str">
        <f>IF(MAIN!K22&lt;&gt;"",MAIN!K22," ")</f>
        <v xml:space="preserve"> </v>
      </c>
      <c r="C33" s="11" t="str">
        <f>IF(MAIN!L22&lt;&gt;"",MAIN!L22," ")</f>
        <v xml:space="preserve"> </v>
      </c>
      <c r="D33" s="11" t="str">
        <f>IF(MAIN!M22&lt;&gt;"",MAIN!M22," ")</f>
        <v xml:space="preserve"> </v>
      </c>
      <c r="E33" s="11" t="str">
        <f>IF(MAIN!N22&lt;&gt;"",MAIN!N22," ")</f>
        <v xml:space="preserve"> </v>
      </c>
      <c r="F33" s="11" t="str">
        <f>IF(MAIN!O22&lt;&gt;"",MAIN!O22," ")</f>
        <v xml:space="preserve"> </v>
      </c>
      <c r="G33" s="11" t="str">
        <f>IF(MAIN!P22&lt;&gt;"",MAIN!P22," ")</f>
        <v xml:space="preserve"> </v>
      </c>
      <c r="H33" s="12" t="str">
        <f>IF(MAIN!Q22&lt;&gt;"",MAIN!Q22," ")</f>
        <v xml:space="preserve"> </v>
      </c>
    </row>
    <row r="34" spans="1:8" x14ac:dyDescent="0.25">
      <c r="A34" s="5">
        <v>22</v>
      </c>
      <c r="B34" s="11" t="str">
        <f>IF(MAIN!K23&lt;&gt;"",MAIN!K23," ")</f>
        <v xml:space="preserve"> </v>
      </c>
      <c r="C34" s="11" t="str">
        <f>IF(MAIN!L23&lt;&gt;"",MAIN!L23," ")</f>
        <v xml:space="preserve"> </v>
      </c>
      <c r="D34" s="11" t="str">
        <f>IF(MAIN!M23&lt;&gt;"",MAIN!M23," ")</f>
        <v xml:space="preserve"> </v>
      </c>
      <c r="E34" s="11" t="str">
        <f>IF(MAIN!N23&lt;&gt;"",MAIN!N23," ")</f>
        <v xml:space="preserve"> </v>
      </c>
      <c r="F34" s="11" t="str">
        <f>IF(MAIN!O23&lt;&gt;"",MAIN!O23," ")</f>
        <v xml:space="preserve"> </v>
      </c>
      <c r="G34" s="11" t="str">
        <f>IF(MAIN!P23&lt;&gt;"",MAIN!P23," ")</f>
        <v xml:space="preserve"> </v>
      </c>
      <c r="H34" s="12" t="str">
        <f>IF(MAIN!Q23&lt;&gt;"",MAIN!Q23," ")</f>
        <v xml:space="preserve"> </v>
      </c>
    </row>
    <row r="35" spans="1:8" x14ac:dyDescent="0.25">
      <c r="A35" s="5">
        <v>23</v>
      </c>
      <c r="B35" s="11" t="str">
        <f>IF(MAIN!K24&lt;&gt;"",MAIN!K24," ")</f>
        <v xml:space="preserve"> </v>
      </c>
      <c r="C35" s="11" t="str">
        <f>IF(MAIN!L24&lt;&gt;"",MAIN!L24," ")</f>
        <v xml:space="preserve"> </v>
      </c>
      <c r="D35" s="11" t="str">
        <f>IF(MAIN!M24&lt;&gt;"",MAIN!M24," ")</f>
        <v xml:space="preserve"> </v>
      </c>
      <c r="E35" s="11" t="str">
        <f>IF(MAIN!N24&lt;&gt;"",MAIN!N24," ")</f>
        <v xml:space="preserve"> </v>
      </c>
      <c r="F35" s="11" t="str">
        <f>IF(MAIN!O24&lt;&gt;"",MAIN!O24," ")</f>
        <v xml:space="preserve"> </v>
      </c>
      <c r="G35" s="11" t="str">
        <f>IF(MAIN!P24&lt;&gt;"",MAIN!P24," ")</f>
        <v xml:space="preserve"> </v>
      </c>
      <c r="H35" s="12" t="str">
        <f>IF(MAIN!Q24&lt;&gt;"",MAIN!Q24," ")</f>
        <v xml:space="preserve"> </v>
      </c>
    </row>
    <row r="36" spans="1:8" x14ac:dyDescent="0.25">
      <c r="A36" s="5">
        <v>24</v>
      </c>
      <c r="B36" s="11" t="str">
        <f>IF(MAIN!K25&lt;&gt;"",MAIN!K25," ")</f>
        <v xml:space="preserve"> </v>
      </c>
      <c r="C36" s="11" t="str">
        <f>IF(MAIN!L25&lt;&gt;"",MAIN!L25," ")</f>
        <v xml:space="preserve"> </v>
      </c>
      <c r="D36" s="11" t="str">
        <f>IF(MAIN!M25&lt;&gt;"",MAIN!M25," ")</f>
        <v xml:space="preserve"> </v>
      </c>
      <c r="E36" s="11" t="str">
        <f>IF(MAIN!N25&lt;&gt;"",MAIN!N25," ")</f>
        <v xml:space="preserve"> </v>
      </c>
      <c r="F36" s="11" t="str">
        <f>IF(MAIN!O25&lt;&gt;"",MAIN!O25," ")</f>
        <v xml:space="preserve"> </v>
      </c>
      <c r="G36" s="11" t="str">
        <f>IF(MAIN!P25&lt;&gt;"",MAIN!P25," ")</f>
        <v xml:space="preserve"> </v>
      </c>
      <c r="H36" s="12" t="str">
        <f>IF(MAIN!Q25&lt;&gt;"",MAIN!Q25," ")</f>
        <v xml:space="preserve"> </v>
      </c>
    </row>
    <row r="37" spans="1:8" x14ac:dyDescent="0.25">
      <c r="A37" s="5">
        <v>25</v>
      </c>
      <c r="B37" s="11" t="str">
        <f>IF(MAIN!K26&lt;&gt;"",MAIN!K26," ")</f>
        <v xml:space="preserve"> </v>
      </c>
      <c r="C37" s="11" t="str">
        <f>IF(MAIN!L26&lt;&gt;"",MAIN!L26," ")</f>
        <v xml:space="preserve"> </v>
      </c>
      <c r="D37" s="11" t="str">
        <f>IF(MAIN!M26&lt;&gt;"",MAIN!M26," ")</f>
        <v xml:space="preserve"> </v>
      </c>
      <c r="E37" s="11" t="str">
        <f>IF(MAIN!N26&lt;&gt;"",MAIN!N26," ")</f>
        <v xml:space="preserve"> </v>
      </c>
      <c r="F37" s="11" t="str">
        <f>IF(MAIN!O26&lt;&gt;"",MAIN!O26," ")</f>
        <v xml:space="preserve"> </v>
      </c>
      <c r="G37" s="11" t="str">
        <f>IF(MAIN!P26&lt;&gt;"",MAIN!P26," ")</f>
        <v xml:space="preserve"> </v>
      </c>
      <c r="H37" s="12" t="str">
        <f>IF(MAIN!Q26&lt;&gt;"",MAIN!Q26," ")</f>
        <v xml:space="preserve"> </v>
      </c>
    </row>
    <row r="38" spans="1:8" x14ac:dyDescent="0.25">
      <c r="A38" s="5">
        <v>26</v>
      </c>
      <c r="B38" s="11" t="str">
        <f>IF(MAIN!K27&lt;&gt;"",MAIN!K27," ")</f>
        <v xml:space="preserve"> </v>
      </c>
      <c r="C38" s="11" t="str">
        <f>IF(MAIN!L27&lt;&gt;"",MAIN!L27," ")</f>
        <v xml:space="preserve"> </v>
      </c>
      <c r="D38" s="11" t="str">
        <f>IF(MAIN!M27&lt;&gt;"",MAIN!M27," ")</f>
        <v xml:space="preserve"> </v>
      </c>
      <c r="E38" s="11" t="str">
        <f>IF(MAIN!N27&lt;&gt;"",MAIN!N27," ")</f>
        <v xml:space="preserve"> </v>
      </c>
      <c r="F38" s="11" t="str">
        <f>IF(MAIN!O27&lt;&gt;"",MAIN!O27," ")</f>
        <v xml:space="preserve"> </v>
      </c>
      <c r="G38" s="11" t="str">
        <f>IF(MAIN!P27&lt;&gt;"",MAIN!P27," ")</f>
        <v xml:space="preserve"> </v>
      </c>
      <c r="H38" s="12" t="str">
        <f>IF(MAIN!Q27&lt;&gt;"",MAIN!Q27," ")</f>
        <v xml:space="preserve"> </v>
      </c>
    </row>
    <row r="39" spans="1:8" x14ac:dyDescent="0.25">
      <c r="A39" s="5">
        <v>27</v>
      </c>
      <c r="B39" s="11" t="str">
        <f>IF(MAIN!K28&lt;&gt;"",MAIN!K28," ")</f>
        <v xml:space="preserve"> </v>
      </c>
      <c r="C39" s="11" t="str">
        <f>IF(MAIN!L28&lt;&gt;"",MAIN!L28," ")</f>
        <v xml:space="preserve"> </v>
      </c>
      <c r="D39" s="11" t="str">
        <f>IF(MAIN!M28&lt;&gt;"",MAIN!M28," ")</f>
        <v xml:space="preserve"> </v>
      </c>
      <c r="E39" s="11" t="str">
        <f>IF(MAIN!N28&lt;&gt;"",MAIN!N28," ")</f>
        <v xml:space="preserve"> </v>
      </c>
      <c r="F39" s="11" t="str">
        <f>IF(MAIN!O28&lt;&gt;"",MAIN!O28," ")</f>
        <v xml:space="preserve"> </v>
      </c>
      <c r="G39" s="11" t="str">
        <f>IF(MAIN!P28&lt;&gt;"",MAIN!P28," ")</f>
        <v xml:space="preserve"> </v>
      </c>
      <c r="H39" s="12" t="str">
        <f>IF(MAIN!Q28&lt;&gt;"",MAIN!Q28," ")</f>
        <v xml:space="preserve"> </v>
      </c>
    </row>
    <row r="40" spans="1:8" x14ac:dyDescent="0.25">
      <c r="A40" s="5">
        <v>28</v>
      </c>
      <c r="B40" s="11" t="str">
        <f>IF(MAIN!K29&lt;&gt;"",MAIN!K29," ")</f>
        <v xml:space="preserve"> </v>
      </c>
      <c r="C40" s="11" t="str">
        <f>IF(MAIN!L29&lt;&gt;"",MAIN!L29," ")</f>
        <v xml:space="preserve"> </v>
      </c>
      <c r="D40" s="11" t="str">
        <f>IF(MAIN!M29&lt;&gt;"",MAIN!M29," ")</f>
        <v xml:space="preserve"> </v>
      </c>
      <c r="E40" s="11" t="str">
        <f>IF(MAIN!N29&lt;&gt;"",MAIN!N29," ")</f>
        <v xml:space="preserve"> </v>
      </c>
      <c r="F40" s="11" t="str">
        <f>IF(MAIN!O29&lt;&gt;"",MAIN!O29," ")</f>
        <v xml:space="preserve"> </v>
      </c>
      <c r="G40" s="11" t="str">
        <f>IF(MAIN!P29&lt;&gt;"",MAIN!P29," ")</f>
        <v xml:space="preserve"> </v>
      </c>
      <c r="H40" s="12" t="str">
        <f>IF(MAIN!Q29&lt;&gt;"",MAIN!Q29," ")</f>
        <v xml:space="preserve"> </v>
      </c>
    </row>
    <row r="41" spans="1:8" x14ac:dyDescent="0.25">
      <c r="A41" s="5">
        <v>29</v>
      </c>
      <c r="B41" s="11" t="str">
        <f>IF(MAIN!K30&lt;&gt;"",MAIN!K30," ")</f>
        <v xml:space="preserve"> </v>
      </c>
      <c r="C41" s="11" t="str">
        <f>IF(MAIN!L30&lt;&gt;"",MAIN!L30," ")</f>
        <v xml:space="preserve"> </v>
      </c>
      <c r="D41" s="11" t="str">
        <f>IF(MAIN!M30&lt;&gt;"",MAIN!M30," ")</f>
        <v xml:space="preserve"> </v>
      </c>
      <c r="E41" s="11" t="str">
        <f>IF(MAIN!N30&lt;&gt;"",MAIN!N30," ")</f>
        <v xml:space="preserve"> </v>
      </c>
      <c r="F41" s="11" t="str">
        <f>IF(MAIN!O30&lt;&gt;"",MAIN!O30," ")</f>
        <v xml:space="preserve"> </v>
      </c>
      <c r="G41" s="11" t="str">
        <f>IF(MAIN!P30&lt;&gt;"",MAIN!P30," ")</f>
        <v xml:space="preserve"> </v>
      </c>
      <c r="H41" s="12" t="str">
        <f>IF(MAIN!Q30&lt;&gt;"",MAIN!Q30," ")</f>
        <v xml:space="preserve"> </v>
      </c>
    </row>
    <row r="42" spans="1:8" x14ac:dyDescent="0.25">
      <c r="A42" s="5">
        <v>30</v>
      </c>
      <c r="B42" s="11" t="str">
        <f>IF(MAIN!K31&lt;&gt;"",MAIN!K31," ")</f>
        <v xml:space="preserve"> </v>
      </c>
      <c r="C42" s="11" t="str">
        <f>IF(MAIN!L31&lt;&gt;"",MAIN!L31," ")</f>
        <v xml:space="preserve"> </v>
      </c>
      <c r="D42" s="11" t="str">
        <f>IF(MAIN!M31&lt;&gt;"",MAIN!M31," ")</f>
        <v xml:space="preserve"> </v>
      </c>
      <c r="E42" s="11" t="str">
        <f>IF(MAIN!N31&lt;&gt;"",MAIN!N31," ")</f>
        <v xml:space="preserve"> </v>
      </c>
      <c r="F42" s="11" t="str">
        <f>IF(MAIN!O31&lt;&gt;"",MAIN!O31," ")</f>
        <v xml:space="preserve"> </v>
      </c>
      <c r="G42" s="11" t="str">
        <f>IF(MAIN!P31&lt;&gt;"",MAIN!P31," ")</f>
        <v xml:space="preserve"> </v>
      </c>
      <c r="H42" s="12" t="str">
        <f>IF(MAIN!Q31&lt;&gt;"",MAIN!Q31," ")</f>
        <v xml:space="preserve"> </v>
      </c>
    </row>
    <row r="43" spans="1:8" x14ac:dyDescent="0.25">
      <c r="A43" s="10"/>
    </row>
    <row r="44" spans="1:8" ht="15" customHeight="1" x14ac:dyDescent="0.25">
      <c r="B44" s="102" t="str">
        <f xml:space="preserve"> "bàn giao cho " &amp; MAIN!B10 &amp;" - " &amp; MAIN!C10 &amp; " chuyển đến " &amp; MAIN!D10 &amp;" " &amp; MAIN!E10 &amp; " để cách ly theo quy định."</f>
        <v>bàn giao cho SACO - 2 chuyển đến KS Ibis Sai Gon South - Q7 để cách ly theo quy định.</v>
      </c>
      <c r="C44" s="102"/>
      <c r="D44" s="102"/>
      <c r="E44" s="102"/>
      <c r="F44" s="102"/>
      <c r="G44" s="102"/>
      <c r="H44" s="6"/>
    </row>
    <row r="45" spans="1:8" x14ac:dyDescent="0.25">
      <c r="A45" s="10"/>
      <c r="B45" s="102"/>
      <c r="C45" s="102"/>
      <c r="D45" s="102"/>
      <c r="E45" s="102"/>
      <c r="F45" s="102"/>
      <c r="G45" s="102"/>
    </row>
    <row r="46" spans="1:8" x14ac:dyDescent="0.25">
      <c r="C46" s="100" t="str">
        <f xml:space="preserve"> "Sân bay Tân Sơn Nhất,…. giờ…., ngày " &amp; DAY(MAIN!B5) &amp; " tháng " &amp; MONTH(MAIN!B5) &amp; " năm " &amp; YEAR(MAIN!B5)</f>
        <v>Sân bay Tân Sơn Nhất,…. giờ…., ngày 14 tháng 3 năm 2021</v>
      </c>
      <c r="D46" s="100"/>
      <c r="E46" s="100"/>
      <c r="F46" s="100"/>
      <c r="G46" s="100"/>
      <c r="H46" s="100"/>
    </row>
    <row r="47" spans="1:8" x14ac:dyDescent="0.25">
      <c r="B47" s="99" t="s">
        <v>15</v>
      </c>
      <c r="C47" s="100"/>
      <c r="E47" s="99" t="s">
        <v>16</v>
      </c>
      <c r="F47" s="99"/>
      <c r="G47" s="99"/>
      <c r="H47" s="99"/>
    </row>
    <row r="48" spans="1:8" x14ac:dyDescent="0.25">
      <c r="B48" s="101" t="s">
        <v>17</v>
      </c>
      <c r="C48" s="100"/>
      <c r="E48" s="101" t="s">
        <v>17</v>
      </c>
      <c r="F48" s="101"/>
      <c r="G48" s="101"/>
      <c r="H48" s="101"/>
    </row>
    <row r="52" spans="1:8" x14ac:dyDescent="0.25">
      <c r="G52" s="10" t="str">
        <f>MAIN!B3</f>
        <v>BS LÊ ĐẠI HOÀNG NGUYÊN</v>
      </c>
    </row>
    <row r="53" spans="1:8" x14ac:dyDescent="0.25">
      <c r="A53" s="7" t="s">
        <v>0</v>
      </c>
      <c r="B53" s="7"/>
      <c r="C53" s="7"/>
      <c r="E53" s="8" t="s">
        <v>1</v>
      </c>
      <c r="F53" s="8"/>
      <c r="G53" s="8"/>
      <c r="H53" s="8"/>
    </row>
    <row r="54" spans="1:8" x14ac:dyDescent="0.25">
      <c r="A54" s="8" t="s">
        <v>2</v>
      </c>
      <c r="B54" s="7"/>
      <c r="C54" s="7"/>
      <c r="E54" s="7" t="s">
        <v>3</v>
      </c>
      <c r="F54" s="7"/>
      <c r="G54" s="7"/>
      <c r="H54" s="7"/>
    </row>
    <row r="55" spans="1:8" x14ac:dyDescent="0.25">
      <c r="E55" s="98" t="s">
        <v>4</v>
      </c>
      <c r="F55" s="98"/>
      <c r="G55" s="98"/>
      <c r="H55" s="98"/>
    </row>
    <row r="56" spans="1:8" x14ac:dyDescent="0.25">
      <c r="A56" s="99" t="s">
        <v>5</v>
      </c>
      <c r="B56" s="99"/>
      <c r="C56" s="99"/>
      <c r="D56" s="99"/>
      <c r="E56" s="99"/>
      <c r="F56" s="99"/>
      <c r="G56" s="99"/>
      <c r="H56" s="99"/>
    </row>
    <row r="57" spans="1:8" x14ac:dyDescent="0.25">
      <c r="A57" s="99" t="s">
        <v>6</v>
      </c>
      <c r="B57" s="99"/>
      <c r="C57" s="99"/>
      <c r="D57" s="99"/>
      <c r="E57" s="99"/>
      <c r="F57" s="99"/>
      <c r="G57" s="99"/>
      <c r="H57" s="99"/>
    </row>
    <row r="59" spans="1:8" x14ac:dyDescent="0.25">
      <c r="B59" s="9" t="str">
        <f xml:space="preserve"> "Chúng tôi gồm: " &amp; MAIN!B3</f>
        <v>Chúng tôi gồm: BS LÊ ĐẠI HOÀNG NGUYÊN</v>
      </c>
      <c r="C59" s="9"/>
      <c r="D59" s="9"/>
      <c r="E59" s="9"/>
      <c r="F59" s="9"/>
      <c r="G59" s="9"/>
      <c r="H59" s="10"/>
    </row>
    <row r="60" spans="1:8" x14ac:dyDescent="0.25">
      <c r="A60" s="2" t="s">
        <v>18</v>
      </c>
      <c r="B60" s="2" t="str">
        <f>"                       " &amp; MAIN!B4</f>
        <v xml:space="preserve">                       </v>
      </c>
    </row>
    <row r="61" spans="1:8" x14ac:dyDescent="0.25">
      <c r="B61" s="9" t="s">
        <v>19</v>
      </c>
      <c r="C61" s="9"/>
      <c r="D61" s="9"/>
      <c r="E61" s="9"/>
      <c r="F61" s="9"/>
      <c r="G61" s="9"/>
      <c r="H61" s="9"/>
    </row>
    <row r="62" spans="1:8" x14ac:dyDescent="0.25">
      <c r="B62" s="9" t="str">
        <f>"vùng dịch COVID-19 bao gồm " &amp; IF(COUNTIF(B65:B94,"&lt;&gt;"&amp;" ")&gt;0,COUNTIF(B65:B94,"&lt;&gt;"&amp;" "),"")  &amp; " khách"</f>
        <v>vùng dịch COVID-19 bao gồm  khách</v>
      </c>
      <c r="C62" s="10"/>
    </row>
    <row r="64" spans="1:8" x14ac:dyDescent="0.25">
      <c r="A64" s="3" t="s">
        <v>7</v>
      </c>
      <c r="B64" s="3" t="s">
        <v>8</v>
      </c>
      <c r="C64" s="3" t="s">
        <v>9</v>
      </c>
      <c r="D64" s="4" t="s">
        <v>10</v>
      </c>
      <c r="E64" s="3" t="s">
        <v>11</v>
      </c>
      <c r="F64" s="3" t="s">
        <v>12</v>
      </c>
      <c r="G64" s="3" t="s">
        <v>13</v>
      </c>
      <c r="H64" s="3" t="s">
        <v>14</v>
      </c>
    </row>
    <row r="65" spans="1:8" x14ac:dyDescent="0.25">
      <c r="A65" s="5">
        <v>1</v>
      </c>
      <c r="B65" s="11" t="str">
        <f>IF(MAIN!K32&lt;&gt;"",MAIN!K32," ")</f>
        <v xml:space="preserve"> </v>
      </c>
      <c r="C65" s="11" t="str">
        <f>IF(MAIN!L32&lt;&gt;"",MAIN!L32," ")</f>
        <v xml:space="preserve"> </v>
      </c>
      <c r="D65" s="11" t="str">
        <f>IF(MAIN!M32&lt;&gt;"",MAIN!M32," ")</f>
        <v xml:space="preserve"> </v>
      </c>
      <c r="E65" s="11" t="str">
        <f>IF(MAIN!N32&lt;&gt;"",MAIN!N32," ")</f>
        <v xml:space="preserve"> </v>
      </c>
      <c r="F65" s="11" t="str">
        <f>IF(MAIN!O32&lt;&gt;"",MAIN!O32," ")</f>
        <v xml:space="preserve"> </v>
      </c>
      <c r="G65" s="11" t="str">
        <f>IF(MAIN!P32&lt;&gt;"",MAIN!P32," ")</f>
        <v xml:space="preserve"> </v>
      </c>
      <c r="H65" s="12" t="str">
        <f>IF(MAIN!Q32&lt;&gt;"",MAIN!Q32," ")</f>
        <v xml:space="preserve"> </v>
      </c>
    </row>
    <row r="66" spans="1:8" x14ac:dyDescent="0.25">
      <c r="A66" s="5">
        <v>2</v>
      </c>
      <c r="B66" s="11" t="str">
        <f>IF(MAIN!K33&lt;&gt;"",MAIN!K33," ")</f>
        <v xml:space="preserve"> </v>
      </c>
      <c r="C66" s="11" t="str">
        <f>IF(MAIN!L33&lt;&gt;"",MAIN!L33," ")</f>
        <v xml:space="preserve"> </v>
      </c>
      <c r="D66" s="11" t="str">
        <f>IF(MAIN!M33&lt;&gt;"",MAIN!M33," ")</f>
        <v xml:space="preserve"> </v>
      </c>
      <c r="E66" s="11" t="str">
        <f>IF(MAIN!N33&lt;&gt;"",MAIN!N33," ")</f>
        <v xml:space="preserve"> </v>
      </c>
      <c r="F66" s="11" t="str">
        <f>IF(MAIN!O33&lt;&gt;"",MAIN!O33," ")</f>
        <v xml:space="preserve"> </v>
      </c>
      <c r="G66" s="11" t="str">
        <f>IF(MAIN!P33&lt;&gt;"",MAIN!P33," ")</f>
        <v xml:space="preserve"> </v>
      </c>
      <c r="H66" s="12" t="str">
        <f>IF(MAIN!Q33&lt;&gt;"",MAIN!Q33," ")</f>
        <v xml:space="preserve"> </v>
      </c>
    </row>
    <row r="67" spans="1:8" x14ac:dyDescent="0.25">
      <c r="A67" s="5">
        <v>3</v>
      </c>
      <c r="B67" s="11" t="str">
        <f>IF(MAIN!K34&lt;&gt;"",MAIN!K34," ")</f>
        <v xml:space="preserve"> </v>
      </c>
      <c r="C67" s="11" t="str">
        <f>IF(MAIN!L34&lt;&gt;"",MAIN!L34," ")</f>
        <v xml:space="preserve"> </v>
      </c>
      <c r="D67" s="11" t="str">
        <f>IF(MAIN!M34&lt;&gt;"",MAIN!M34," ")</f>
        <v xml:space="preserve"> </v>
      </c>
      <c r="E67" s="11" t="str">
        <f>IF(MAIN!N34&lt;&gt;"",MAIN!N34," ")</f>
        <v xml:space="preserve"> </v>
      </c>
      <c r="F67" s="11" t="str">
        <f>IF(MAIN!O34&lt;&gt;"",MAIN!O34," ")</f>
        <v xml:space="preserve"> </v>
      </c>
      <c r="G67" s="11" t="str">
        <f>IF(MAIN!P34&lt;&gt;"",MAIN!P34," ")</f>
        <v xml:space="preserve"> </v>
      </c>
      <c r="H67" s="12" t="str">
        <f>IF(MAIN!Q34&lt;&gt;"",MAIN!Q34," ")</f>
        <v xml:space="preserve"> </v>
      </c>
    </row>
    <row r="68" spans="1:8" x14ac:dyDescent="0.25">
      <c r="A68" s="5">
        <v>4</v>
      </c>
      <c r="B68" s="11" t="str">
        <f>IF(MAIN!K35&lt;&gt;"",MAIN!K35," ")</f>
        <v xml:space="preserve"> </v>
      </c>
      <c r="C68" s="11" t="str">
        <f>IF(MAIN!L35&lt;&gt;"",MAIN!L35," ")</f>
        <v xml:space="preserve"> </v>
      </c>
      <c r="D68" s="11" t="str">
        <f>IF(MAIN!M35&lt;&gt;"",MAIN!M35," ")</f>
        <v xml:space="preserve"> </v>
      </c>
      <c r="E68" s="11" t="str">
        <f>IF(MAIN!N35&lt;&gt;"",MAIN!N35," ")</f>
        <v xml:space="preserve"> </v>
      </c>
      <c r="F68" s="11" t="str">
        <f>IF(MAIN!O35&lt;&gt;"",MAIN!O35," ")</f>
        <v xml:space="preserve"> </v>
      </c>
      <c r="G68" s="11" t="str">
        <f>IF(MAIN!P35&lt;&gt;"",MAIN!P35," ")</f>
        <v xml:space="preserve"> </v>
      </c>
      <c r="H68" s="12" t="str">
        <f>IF(MAIN!Q35&lt;&gt;"",MAIN!Q35," ")</f>
        <v xml:space="preserve"> </v>
      </c>
    </row>
    <row r="69" spans="1:8" x14ac:dyDescent="0.25">
      <c r="A69" s="5">
        <v>5</v>
      </c>
      <c r="B69" s="11" t="str">
        <f>IF(MAIN!K36&lt;&gt;"",MAIN!K36," ")</f>
        <v xml:space="preserve"> </v>
      </c>
      <c r="C69" s="11" t="str">
        <f>IF(MAIN!L36&lt;&gt;"",MAIN!L36," ")</f>
        <v xml:space="preserve"> </v>
      </c>
      <c r="D69" s="11" t="str">
        <f>IF(MAIN!M36&lt;&gt;"",MAIN!M36," ")</f>
        <v xml:space="preserve"> </v>
      </c>
      <c r="E69" s="11" t="str">
        <f>IF(MAIN!N36&lt;&gt;"",MAIN!N36," ")</f>
        <v xml:space="preserve"> </v>
      </c>
      <c r="F69" s="11" t="str">
        <f>IF(MAIN!O36&lt;&gt;"",MAIN!O36," ")</f>
        <v xml:space="preserve"> </v>
      </c>
      <c r="G69" s="11" t="str">
        <f>IF(MAIN!P36&lt;&gt;"",MAIN!P36," ")</f>
        <v xml:space="preserve"> </v>
      </c>
      <c r="H69" s="12" t="str">
        <f>IF(MAIN!Q36&lt;&gt;"",MAIN!Q36," ")</f>
        <v xml:space="preserve"> </v>
      </c>
    </row>
    <row r="70" spans="1:8" x14ac:dyDescent="0.25">
      <c r="A70" s="5">
        <v>6</v>
      </c>
      <c r="B70" s="11" t="str">
        <f>IF(MAIN!K37&lt;&gt;"",MAIN!K37," ")</f>
        <v xml:space="preserve"> </v>
      </c>
      <c r="C70" s="11" t="str">
        <f>IF(MAIN!L37&lt;&gt;"",MAIN!L37," ")</f>
        <v xml:space="preserve"> </v>
      </c>
      <c r="D70" s="11" t="str">
        <f>IF(MAIN!M37&lt;&gt;"",MAIN!M37," ")</f>
        <v xml:space="preserve"> </v>
      </c>
      <c r="E70" s="11" t="str">
        <f>IF(MAIN!N37&lt;&gt;"",MAIN!N37," ")</f>
        <v xml:space="preserve"> </v>
      </c>
      <c r="F70" s="11" t="str">
        <f>IF(MAIN!O37&lt;&gt;"",MAIN!O37," ")</f>
        <v xml:space="preserve"> </v>
      </c>
      <c r="G70" s="11" t="str">
        <f>IF(MAIN!P37&lt;&gt;"",MAIN!P37," ")</f>
        <v xml:space="preserve"> </v>
      </c>
      <c r="H70" s="12" t="str">
        <f>IF(MAIN!Q37&lt;&gt;"",MAIN!Q37," ")</f>
        <v xml:space="preserve"> </v>
      </c>
    </row>
    <row r="71" spans="1:8" x14ac:dyDescent="0.25">
      <c r="A71" s="5">
        <v>7</v>
      </c>
      <c r="B71" s="11" t="str">
        <f>IF(MAIN!K38&lt;&gt;"",MAIN!K38," ")</f>
        <v xml:space="preserve"> </v>
      </c>
      <c r="C71" s="11" t="str">
        <f>IF(MAIN!L38&lt;&gt;"",MAIN!L38," ")</f>
        <v xml:space="preserve"> </v>
      </c>
      <c r="D71" s="11" t="str">
        <f>IF(MAIN!M38&lt;&gt;"",MAIN!M38," ")</f>
        <v xml:space="preserve"> </v>
      </c>
      <c r="E71" s="11" t="str">
        <f>IF(MAIN!N38&lt;&gt;"",MAIN!N38," ")</f>
        <v xml:space="preserve"> </v>
      </c>
      <c r="F71" s="11" t="str">
        <f>IF(MAIN!O38&lt;&gt;"",MAIN!O38," ")</f>
        <v xml:space="preserve"> </v>
      </c>
      <c r="G71" s="11" t="str">
        <f>IF(MAIN!P38&lt;&gt;"",MAIN!P38," ")</f>
        <v xml:space="preserve"> </v>
      </c>
      <c r="H71" s="12" t="str">
        <f>IF(MAIN!Q38&lt;&gt;"",MAIN!Q38," ")</f>
        <v xml:space="preserve"> </v>
      </c>
    </row>
    <row r="72" spans="1:8" x14ac:dyDescent="0.25">
      <c r="A72" s="5">
        <v>8</v>
      </c>
      <c r="B72" s="11" t="str">
        <f>IF(MAIN!K39&lt;&gt;"",MAIN!K39," ")</f>
        <v xml:space="preserve"> </v>
      </c>
      <c r="C72" s="11" t="str">
        <f>IF(MAIN!L39&lt;&gt;"",MAIN!L39," ")</f>
        <v xml:space="preserve"> </v>
      </c>
      <c r="D72" s="11" t="str">
        <f>IF(MAIN!M39&lt;&gt;"",MAIN!M39," ")</f>
        <v xml:space="preserve"> </v>
      </c>
      <c r="E72" s="11" t="str">
        <f>IF(MAIN!N39&lt;&gt;"",MAIN!N39," ")</f>
        <v xml:space="preserve"> </v>
      </c>
      <c r="F72" s="11" t="str">
        <f>IF(MAIN!O39&lt;&gt;"",MAIN!O39," ")</f>
        <v xml:space="preserve"> </v>
      </c>
      <c r="G72" s="11" t="str">
        <f>IF(MAIN!P39&lt;&gt;"",MAIN!P39," ")</f>
        <v xml:space="preserve"> </v>
      </c>
      <c r="H72" s="12" t="str">
        <f>IF(MAIN!Q39&lt;&gt;"",MAIN!Q39," ")</f>
        <v xml:space="preserve"> </v>
      </c>
    </row>
    <row r="73" spans="1:8" x14ac:dyDescent="0.25">
      <c r="A73" s="5">
        <v>9</v>
      </c>
      <c r="B73" s="11" t="str">
        <f>IF(MAIN!K40&lt;&gt;"",MAIN!K40," ")</f>
        <v xml:space="preserve"> </v>
      </c>
      <c r="C73" s="11" t="str">
        <f>IF(MAIN!L40&lt;&gt;"",MAIN!L40," ")</f>
        <v xml:space="preserve"> </v>
      </c>
      <c r="D73" s="11" t="str">
        <f>IF(MAIN!M40&lt;&gt;"",MAIN!M40," ")</f>
        <v xml:space="preserve"> </v>
      </c>
      <c r="E73" s="11" t="str">
        <f>IF(MAIN!N40&lt;&gt;"",MAIN!N40," ")</f>
        <v xml:space="preserve"> </v>
      </c>
      <c r="F73" s="11" t="str">
        <f>IF(MAIN!O40&lt;&gt;"",MAIN!O40," ")</f>
        <v xml:space="preserve"> </v>
      </c>
      <c r="G73" s="11" t="str">
        <f>IF(MAIN!P40&lt;&gt;"",MAIN!P40," ")</f>
        <v xml:space="preserve"> </v>
      </c>
      <c r="H73" s="12" t="str">
        <f>IF(MAIN!Q40&lt;&gt;"",MAIN!Q40," ")</f>
        <v xml:space="preserve"> </v>
      </c>
    </row>
    <row r="74" spans="1:8" x14ac:dyDescent="0.25">
      <c r="A74" s="5">
        <v>10</v>
      </c>
      <c r="B74" s="11" t="str">
        <f>IF(MAIN!K41&lt;&gt;"",MAIN!K41," ")</f>
        <v xml:space="preserve"> </v>
      </c>
      <c r="C74" s="11" t="str">
        <f>IF(MAIN!L41&lt;&gt;"",MAIN!L41," ")</f>
        <v xml:space="preserve"> </v>
      </c>
      <c r="D74" s="11" t="str">
        <f>IF(MAIN!M41&lt;&gt;"",MAIN!M41," ")</f>
        <v xml:space="preserve"> </v>
      </c>
      <c r="E74" s="11" t="str">
        <f>IF(MAIN!N41&lt;&gt;"",MAIN!N41," ")</f>
        <v xml:space="preserve"> </v>
      </c>
      <c r="F74" s="11" t="str">
        <f>IF(MAIN!O41&lt;&gt;"",MAIN!O41," ")</f>
        <v xml:space="preserve"> </v>
      </c>
      <c r="G74" s="11" t="str">
        <f>IF(MAIN!P41&lt;&gt;"",MAIN!P41," ")</f>
        <v xml:space="preserve"> </v>
      </c>
      <c r="H74" s="12" t="str">
        <f>IF(MAIN!Q41&lt;&gt;"",MAIN!Q41," ")</f>
        <v xml:space="preserve"> </v>
      </c>
    </row>
    <row r="75" spans="1:8" x14ac:dyDescent="0.25">
      <c r="A75" s="5">
        <v>11</v>
      </c>
      <c r="B75" s="11" t="str">
        <f>IF(MAIN!K42&lt;&gt;"",MAIN!K42," ")</f>
        <v xml:space="preserve"> </v>
      </c>
      <c r="C75" s="11" t="str">
        <f>IF(MAIN!L42&lt;&gt;"",MAIN!L42," ")</f>
        <v xml:space="preserve"> </v>
      </c>
      <c r="D75" s="11" t="str">
        <f>IF(MAIN!M42&lt;&gt;"",MAIN!M42," ")</f>
        <v xml:space="preserve"> </v>
      </c>
      <c r="E75" s="11" t="str">
        <f>IF(MAIN!N42&lt;&gt;"",MAIN!N42," ")</f>
        <v xml:space="preserve"> </v>
      </c>
      <c r="F75" s="11" t="str">
        <f>IF(MAIN!O42&lt;&gt;"",MAIN!O42," ")</f>
        <v xml:space="preserve"> </v>
      </c>
      <c r="G75" s="11" t="str">
        <f>IF(MAIN!P42&lt;&gt;"",MAIN!P42," ")</f>
        <v xml:space="preserve"> </v>
      </c>
      <c r="H75" s="12" t="str">
        <f>IF(MAIN!Q42&lt;&gt;"",MAIN!Q42," ")</f>
        <v xml:space="preserve"> </v>
      </c>
    </row>
    <row r="76" spans="1:8" x14ac:dyDescent="0.25">
      <c r="A76" s="5">
        <v>12</v>
      </c>
      <c r="B76" s="11" t="str">
        <f>IF(MAIN!K43&lt;&gt;"",MAIN!K43," ")</f>
        <v xml:space="preserve"> </v>
      </c>
      <c r="C76" s="11" t="str">
        <f>IF(MAIN!L43&lt;&gt;"",MAIN!L43," ")</f>
        <v xml:space="preserve"> </v>
      </c>
      <c r="D76" s="11" t="str">
        <f>IF(MAIN!M43&lt;&gt;"",MAIN!M43," ")</f>
        <v xml:space="preserve"> </v>
      </c>
      <c r="E76" s="11" t="str">
        <f>IF(MAIN!N43&lt;&gt;"",MAIN!N43," ")</f>
        <v xml:space="preserve"> </v>
      </c>
      <c r="F76" s="11" t="str">
        <f>IF(MAIN!O43&lt;&gt;"",MAIN!O43," ")</f>
        <v xml:space="preserve"> </v>
      </c>
      <c r="G76" s="11" t="str">
        <f>IF(MAIN!P43&lt;&gt;"",MAIN!P43," ")</f>
        <v xml:space="preserve"> </v>
      </c>
      <c r="H76" s="12" t="str">
        <f>IF(MAIN!Q43&lt;&gt;"",MAIN!Q43," ")</f>
        <v xml:space="preserve"> </v>
      </c>
    </row>
    <row r="77" spans="1:8" x14ac:dyDescent="0.25">
      <c r="A77" s="5">
        <v>13</v>
      </c>
      <c r="B77" s="11" t="str">
        <f>IF(MAIN!K44&lt;&gt;"",MAIN!K44," ")</f>
        <v xml:space="preserve"> </v>
      </c>
      <c r="C77" s="11" t="str">
        <f>IF(MAIN!L44&lt;&gt;"",MAIN!L44," ")</f>
        <v xml:space="preserve"> </v>
      </c>
      <c r="D77" s="11" t="str">
        <f>IF(MAIN!M44&lt;&gt;"",MAIN!M44," ")</f>
        <v xml:space="preserve"> </v>
      </c>
      <c r="E77" s="11" t="str">
        <f>IF(MAIN!N44&lt;&gt;"",MAIN!N44," ")</f>
        <v xml:space="preserve"> </v>
      </c>
      <c r="F77" s="11" t="str">
        <f>IF(MAIN!O44&lt;&gt;"",MAIN!O44," ")</f>
        <v xml:space="preserve"> </v>
      </c>
      <c r="G77" s="11" t="str">
        <f>IF(MAIN!P44&lt;&gt;"",MAIN!P44," ")</f>
        <v xml:space="preserve"> </v>
      </c>
      <c r="H77" s="12" t="str">
        <f>IF(MAIN!Q44&lt;&gt;"",MAIN!Q44," ")</f>
        <v xml:space="preserve"> </v>
      </c>
    </row>
    <row r="78" spans="1:8" x14ac:dyDescent="0.25">
      <c r="A78" s="5">
        <v>14</v>
      </c>
      <c r="B78" s="11" t="str">
        <f>IF(MAIN!K45&lt;&gt;"",MAIN!K45," ")</f>
        <v xml:space="preserve"> </v>
      </c>
      <c r="C78" s="11" t="str">
        <f>IF(MAIN!L45&lt;&gt;"",MAIN!L45," ")</f>
        <v xml:space="preserve"> </v>
      </c>
      <c r="D78" s="11" t="str">
        <f>IF(MAIN!M45&lt;&gt;"",MAIN!M45," ")</f>
        <v xml:space="preserve"> </v>
      </c>
      <c r="E78" s="11" t="str">
        <f>IF(MAIN!N45&lt;&gt;"",MAIN!N45," ")</f>
        <v xml:space="preserve"> </v>
      </c>
      <c r="F78" s="11" t="str">
        <f>IF(MAIN!O45&lt;&gt;"",MAIN!O45," ")</f>
        <v xml:space="preserve"> </v>
      </c>
      <c r="G78" s="11" t="str">
        <f>IF(MAIN!P45&lt;&gt;"",MAIN!P45," ")</f>
        <v xml:space="preserve"> </v>
      </c>
      <c r="H78" s="12" t="str">
        <f>IF(MAIN!Q45&lt;&gt;"",MAIN!Q45," ")</f>
        <v xml:space="preserve"> </v>
      </c>
    </row>
    <row r="79" spans="1:8" x14ac:dyDescent="0.25">
      <c r="A79" s="5">
        <v>15</v>
      </c>
      <c r="B79" s="11" t="str">
        <f>IF(MAIN!K46&lt;&gt;"",MAIN!K46," ")</f>
        <v xml:space="preserve"> </v>
      </c>
      <c r="C79" s="11" t="str">
        <f>IF(MAIN!L46&lt;&gt;"",MAIN!L46," ")</f>
        <v xml:space="preserve"> </v>
      </c>
      <c r="D79" s="11" t="str">
        <f>IF(MAIN!M46&lt;&gt;"",MAIN!M46," ")</f>
        <v xml:space="preserve"> </v>
      </c>
      <c r="E79" s="11" t="str">
        <f>IF(MAIN!N46&lt;&gt;"",MAIN!N46," ")</f>
        <v xml:space="preserve"> </v>
      </c>
      <c r="F79" s="11" t="str">
        <f>IF(MAIN!O46&lt;&gt;"",MAIN!O46," ")</f>
        <v xml:space="preserve"> </v>
      </c>
      <c r="G79" s="11" t="str">
        <f>IF(MAIN!P46&lt;&gt;"",MAIN!P46," ")</f>
        <v xml:space="preserve"> </v>
      </c>
      <c r="H79" s="12" t="str">
        <f>IF(MAIN!Q46&lt;&gt;"",MAIN!Q46," ")</f>
        <v xml:space="preserve"> </v>
      </c>
    </row>
    <row r="80" spans="1:8" x14ac:dyDescent="0.25">
      <c r="A80" s="5">
        <v>16</v>
      </c>
      <c r="B80" s="11" t="str">
        <f>IF(MAIN!K47&lt;&gt;"",MAIN!K47," ")</f>
        <v xml:space="preserve"> </v>
      </c>
      <c r="C80" s="11" t="str">
        <f>IF(MAIN!L47&lt;&gt;"",MAIN!L47," ")</f>
        <v xml:space="preserve"> </v>
      </c>
      <c r="D80" s="11" t="str">
        <f>IF(MAIN!M47&lt;&gt;"",MAIN!M47," ")</f>
        <v xml:space="preserve"> </v>
      </c>
      <c r="E80" s="11" t="str">
        <f>IF(MAIN!N47&lt;&gt;"",MAIN!N47," ")</f>
        <v xml:space="preserve"> </v>
      </c>
      <c r="F80" s="11" t="str">
        <f>IF(MAIN!O47&lt;&gt;"",MAIN!O47," ")</f>
        <v xml:space="preserve"> </v>
      </c>
      <c r="G80" s="11" t="str">
        <f>IF(MAIN!P47&lt;&gt;"",MAIN!P47," ")</f>
        <v xml:space="preserve"> </v>
      </c>
      <c r="H80" s="12" t="str">
        <f>IF(MAIN!Q47&lt;&gt;"",MAIN!Q47," ")</f>
        <v xml:space="preserve"> </v>
      </c>
    </row>
    <row r="81" spans="1:8" x14ac:dyDescent="0.25">
      <c r="A81" s="5">
        <v>17</v>
      </c>
      <c r="B81" s="11" t="str">
        <f>IF(MAIN!K48&lt;&gt;"",MAIN!K48," ")</f>
        <v xml:space="preserve"> </v>
      </c>
      <c r="C81" s="11" t="str">
        <f>IF(MAIN!L48&lt;&gt;"",MAIN!L48," ")</f>
        <v xml:space="preserve"> </v>
      </c>
      <c r="D81" s="11" t="str">
        <f>IF(MAIN!M48&lt;&gt;"",MAIN!M48," ")</f>
        <v xml:space="preserve"> </v>
      </c>
      <c r="E81" s="11" t="str">
        <f>IF(MAIN!N48&lt;&gt;"",MAIN!N48," ")</f>
        <v xml:space="preserve"> </v>
      </c>
      <c r="F81" s="11" t="str">
        <f>IF(MAIN!O48&lt;&gt;"",MAIN!O48," ")</f>
        <v xml:space="preserve"> </v>
      </c>
      <c r="G81" s="11" t="str">
        <f>IF(MAIN!P48&lt;&gt;"",MAIN!P48," ")</f>
        <v xml:space="preserve"> </v>
      </c>
      <c r="H81" s="12" t="str">
        <f>IF(MAIN!Q48&lt;&gt;"",MAIN!Q48," ")</f>
        <v xml:space="preserve"> </v>
      </c>
    </row>
    <row r="82" spans="1:8" x14ac:dyDescent="0.25">
      <c r="A82" s="5">
        <v>18</v>
      </c>
      <c r="B82" s="11" t="str">
        <f>IF(MAIN!K49&lt;&gt;"",MAIN!K49," ")</f>
        <v xml:space="preserve"> </v>
      </c>
      <c r="C82" s="11" t="str">
        <f>IF(MAIN!L49&lt;&gt;"",MAIN!L49," ")</f>
        <v xml:space="preserve"> </v>
      </c>
      <c r="D82" s="11" t="str">
        <f>IF(MAIN!M49&lt;&gt;"",MAIN!M49," ")</f>
        <v xml:space="preserve"> </v>
      </c>
      <c r="E82" s="11" t="str">
        <f>IF(MAIN!N49&lt;&gt;"",MAIN!N49," ")</f>
        <v xml:space="preserve"> </v>
      </c>
      <c r="F82" s="11" t="str">
        <f>IF(MAIN!O49&lt;&gt;"",MAIN!O49," ")</f>
        <v xml:space="preserve"> </v>
      </c>
      <c r="G82" s="11" t="str">
        <f>IF(MAIN!P49&lt;&gt;"",MAIN!P49," ")</f>
        <v xml:space="preserve"> </v>
      </c>
      <c r="H82" s="12" t="str">
        <f>IF(MAIN!Q49&lt;&gt;"",MAIN!Q49," ")</f>
        <v xml:space="preserve"> </v>
      </c>
    </row>
    <row r="83" spans="1:8" x14ac:dyDescent="0.25">
      <c r="A83" s="5">
        <v>19</v>
      </c>
      <c r="B83" s="11" t="str">
        <f>IF(MAIN!K50&lt;&gt;"",MAIN!K50," ")</f>
        <v xml:space="preserve"> </v>
      </c>
      <c r="C83" s="11" t="str">
        <f>IF(MAIN!L50&lt;&gt;"",MAIN!L50," ")</f>
        <v xml:space="preserve"> </v>
      </c>
      <c r="D83" s="11" t="str">
        <f>IF(MAIN!M50&lt;&gt;"",MAIN!M50," ")</f>
        <v xml:space="preserve"> </v>
      </c>
      <c r="E83" s="11" t="str">
        <f>IF(MAIN!N50&lt;&gt;"",MAIN!N50," ")</f>
        <v xml:space="preserve"> </v>
      </c>
      <c r="F83" s="11" t="str">
        <f>IF(MAIN!O50&lt;&gt;"",MAIN!O50," ")</f>
        <v xml:space="preserve"> </v>
      </c>
      <c r="G83" s="11" t="str">
        <f>IF(MAIN!P50&lt;&gt;"",MAIN!P50," ")</f>
        <v xml:space="preserve"> </v>
      </c>
      <c r="H83" s="12" t="str">
        <f>IF(MAIN!Q50&lt;&gt;"",MAIN!Q50," ")</f>
        <v xml:space="preserve"> </v>
      </c>
    </row>
    <row r="84" spans="1:8" x14ac:dyDescent="0.25">
      <c r="A84" s="5">
        <v>20</v>
      </c>
      <c r="B84" s="11" t="str">
        <f>IF(MAIN!K51&lt;&gt;"",MAIN!K51," ")</f>
        <v xml:space="preserve"> </v>
      </c>
      <c r="C84" s="11" t="str">
        <f>IF(MAIN!L51&lt;&gt;"",MAIN!L51," ")</f>
        <v xml:space="preserve"> </v>
      </c>
      <c r="D84" s="11" t="str">
        <f>IF(MAIN!M51&lt;&gt;"",MAIN!M51," ")</f>
        <v xml:space="preserve"> </v>
      </c>
      <c r="E84" s="11" t="str">
        <f>IF(MAIN!N51&lt;&gt;"",MAIN!N51," ")</f>
        <v xml:space="preserve"> </v>
      </c>
      <c r="F84" s="11" t="str">
        <f>IF(MAIN!O51&lt;&gt;"",MAIN!O51," ")</f>
        <v xml:space="preserve"> </v>
      </c>
      <c r="G84" s="11" t="str">
        <f>IF(MAIN!P51&lt;&gt;"",MAIN!P51," ")</f>
        <v xml:space="preserve"> </v>
      </c>
      <c r="H84" s="12" t="str">
        <f>IF(MAIN!Q51&lt;&gt;"",MAIN!Q51," ")</f>
        <v xml:space="preserve"> </v>
      </c>
    </row>
    <row r="85" spans="1:8" x14ac:dyDescent="0.25">
      <c r="A85" s="5">
        <v>21</v>
      </c>
      <c r="B85" s="11" t="str">
        <f>IF(MAIN!K52&lt;&gt;"",MAIN!K52," ")</f>
        <v xml:space="preserve"> </v>
      </c>
      <c r="C85" s="11" t="str">
        <f>IF(MAIN!L52&lt;&gt;"",MAIN!L52," ")</f>
        <v xml:space="preserve"> </v>
      </c>
      <c r="D85" s="11" t="str">
        <f>IF(MAIN!M52&lt;&gt;"",MAIN!M52," ")</f>
        <v xml:space="preserve"> </v>
      </c>
      <c r="E85" s="11" t="str">
        <f>IF(MAIN!N52&lt;&gt;"",MAIN!N52," ")</f>
        <v xml:space="preserve"> </v>
      </c>
      <c r="F85" s="11" t="str">
        <f>IF(MAIN!O52&lt;&gt;"",MAIN!O52," ")</f>
        <v xml:space="preserve"> </v>
      </c>
      <c r="G85" s="11" t="str">
        <f>IF(MAIN!P52&lt;&gt;"",MAIN!P52," ")</f>
        <v xml:space="preserve"> </v>
      </c>
      <c r="H85" s="12" t="str">
        <f>IF(MAIN!Q52&lt;&gt;"",MAIN!Q52," ")</f>
        <v xml:space="preserve"> </v>
      </c>
    </row>
    <row r="86" spans="1:8" x14ac:dyDescent="0.25">
      <c r="A86" s="5">
        <v>22</v>
      </c>
      <c r="B86" s="11" t="str">
        <f>IF(MAIN!K53&lt;&gt;"",MAIN!K53," ")</f>
        <v xml:space="preserve"> </v>
      </c>
      <c r="C86" s="11" t="str">
        <f>IF(MAIN!L53&lt;&gt;"",MAIN!L53," ")</f>
        <v xml:space="preserve"> </v>
      </c>
      <c r="D86" s="11" t="str">
        <f>IF(MAIN!M53&lt;&gt;"",MAIN!M53," ")</f>
        <v xml:space="preserve"> </v>
      </c>
      <c r="E86" s="11" t="str">
        <f>IF(MAIN!N53&lt;&gt;"",MAIN!N53," ")</f>
        <v xml:space="preserve"> </v>
      </c>
      <c r="F86" s="11" t="str">
        <f>IF(MAIN!O53&lt;&gt;"",MAIN!O53," ")</f>
        <v xml:space="preserve"> </v>
      </c>
      <c r="G86" s="11" t="str">
        <f>IF(MAIN!P53&lt;&gt;"",MAIN!P53," ")</f>
        <v xml:space="preserve"> </v>
      </c>
      <c r="H86" s="12" t="str">
        <f>IF(MAIN!Q53&lt;&gt;"",MAIN!Q53," ")</f>
        <v xml:space="preserve"> </v>
      </c>
    </row>
    <row r="87" spans="1:8" x14ac:dyDescent="0.25">
      <c r="A87" s="5">
        <v>23</v>
      </c>
      <c r="B87" s="11" t="str">
        <f>IF(MAIN!K54&lt;&gt;"",MAIN!K54," ")</f>
        <v xml:space="preserve"> </v>
      </c>
      <c r="C87" s="11" t="str">
        <f>IF(MAIN!L54&lt;&gt;"",MAIN!L54," ")</f>
        <v xml:space="preserve"> </v>
      </c>
      <c r="D87" s="11" t="str">
        <f>IF(MAIN!M54&lt;&gt;"",MAIN!M54," ")</f>
        <v xml:space="preserve"> </v>
      </c>
      <c r="E87" s="11" t="str">
        <f>IF(MAIN!N54&lt;&gt;"",MAIN!N54," ")</f>
        <v xml:space="preserve"> </v>
      </c>
      <c r="F87" s="11" t="str">
        <f>IF(MAIN!O54&lt;&gt;"",MAIN!O54," ")</f>
        <v xml:space="preserve"> </v>
      </c>
      <c r="G87" s="11" t="str">
        <f>IF(MAIN!P54&lt;&gt;"",MAIN!P54," ")</f>
        <v xml:space="preserve"> </v>
      </c>
      <c r="H87" s="12" t="str">
        <f>IF(MAIN!Q54&lt;&gt;"",MAIN!Q54," ")</f>
        <v xml:space="preserve"> </v>
      </c>
    </row>
    <row r="88" spans="1:8" x14ac:dyDescent="0.25">
      <c r="A88" s="5">
        <v>24</v>
      </c>
      <c r="B88" s="11" t="str">
        <f>IF(MAIN!K55&lt;&gt;"",MAIN!K55," ")</f>
        <v xml:space="preserve"> </v>
      </c>
      <c r="C88" s="11" t="str">
        <f>IF(MAIN!L55&lt;&gt;"",MAIN!L55," ")</f>
        <v xml:space="preserve"> </v>
      </c>
      <c r="D88" s="11" t="str">
        <f>IF(MAIN!M55&lt;&gt;"",MAIN!M55," ")</f>
        <v xml:space="preserve"> </v>
      </c>
      <c r="E88" s="11" t="str">
        <f>IF(MAIN!N55&lt;&gt;"",MAIN!N55," ")</f>
        <v xml:space="preserve"> </v>
      </c>
      <c r="F88" s="11" t="str">
        <f>IF(MAIN!O55&lt;&gt;"",MAIN!O55," ")</f>
        <v xml:space="preserve"> </v>
      </c>
      <c r="G88" s="11" t="str">
        <f>IF(MAIN!P55&lt;&gt;"",MAIN!P55," ")</f>
        <v xml:space="preserve"> </v>
      </c>
      <c r="H88" s="12" t="str">
        <f>IF(MAIN!Q55&lt;&gt;"",MAIN!Q55," ")</f>
        <v xml:space="preserve"> </v>
      </c>
    </row>
    <row r="89" spans="1:8" x14ac:dyDescent="0.25">
      <c r="A89" s="5">
        <v>25</v>
      </c>
      <c r="B89" s="11" t="str">
        <f>IF(MAIN!K56&lt;&gt;"",MAIN!K56," ")</f>
        <v xml:space="preserve"> </v>
      </c>
      <c r="C89" s="11" t="str">
        <f>IF(MAIN!L56&lt;&gt;"",MAIN!L56," ")</f>
        <v xml:space="preserve"> </v>
      </c>
      <c r="D89" s="11" t="str">
        <f>IF(MAIN!M56&lt;&gt;"",MAIN!M56," ")</f>
        <v xml:space="preserve"> </v>
      </c>
      <c r="E89" s="11" t="str">
        <f>IF(MAIN!N56&lt;&gt;"",MAIN!N56," ")</f>
        <v xml:space="preserve"> </v>
      </c>
      <c r="F89" s="11" t="str">
        <f>IF(MAIN!O56&lt;&gt;"",MAIN!O56," ")</f>
        <v xml:space="preserve"> </v>
      </c>
      <c r="G89" s="11" t="str">
        <f>IF(MAIN!P56&lt;&gt;"",MAIN!P56," ")</f>
        <v xml:space="preserve"> </v>
      </c>
      <c r="H89" s="12" t="str">
        <f>IF(MAIN!Q56&lt;&gt;"",MAIN!Q56," ")</f>
        <v xml:space="preserve"> </v>
      </c>
    </row>
    <row r="90" spans="1:8" x14ac:dyDescent="0.25">
      <c r="A90" s="5">
        <v>26</v>
      </c>
      <c r="B90" s="11" t="str">
        <f>IF(MAIN!K57&lt;&gt;"",MAIN!K57," ")</f>
        <v xml:space="preserve"> </v>
      </c>
      <c r="C90" s="11" t="str">
        <f>IF(MAIN!L57&lt;&gt;"",MAIN!L57," ")</f>
        <v xml:space="preserve"> </v>
      </c>
      <c r="D90" s="11" t="str">
        <f>IF(MAIN!M57&lt;&gt;"",MAIN!M57," ")</f>
        <v xml:space="preserve"> </v>
      </c>
      <c r="E90" s="11" t="str">
        <f>IF(MAIN!N57&lt;&gt;"",MAIN!N57," ")</f>
        <v xml:space="preserve"> </v>
      </c>
      <c r="F90" s="11" t="str">
        <f>IF(MAIN!O57&lt;&gt;"",MAIN!O57," ")</f>
        <v xml:space="preserve"> </v>
      </c>
      <c r="G90" s="11" t="str">
        <f>IF(MAIN!P57&lt;&gt;"",MAIN!P57," ")</f>
        <v xml:space="preserve"> </v>
      </c>
      <c r="H90" s="12" t="str">
        <f>IF(MAIN!Q57&lt;&gt;"",MAIN!Q57," ")</f>
        <v xml:space="preserve"> </v>
      </c>
    </row>
    <row r="91" spans="1:8" x14ac:dyDescent="0.25">
      <c r="A91" s="5">
        <v>27</v>
      </c>
      <c r="B91" s="11" t="str">
        <f>IF(MAIN!K58&lt;&gt;"",MAIN!K58," ")</f>
        <v xml:space="preserve"> </v>
      </c>
      <c r="C91" s="11" t="str">
        <f>IF(MAIN!L58&lt;&gt;"",MAIN!L58," ")</f>
        <v xml:space="preserve"> </v>
      </c>
      <c r="D91" s="11" t="str">
        <f>IF(MAIN!M58&lt;&gt;"",MAIN!M58," ")</f>
        <v xml:space="preserve"> </v>
      </c>
      <c r="E91" s="11" t="str">
        <f>IF(MAIN!N58&lt;&gt;"",MAIN!N58," ")</f>
        <v xml:space="preserve"> </v>
      </c>
      <c r="F91" s="11" t="str">
        <f>IF(MAIN!O58&lt;&gt;"",MAIN!O58," ")</f>
        <v xml:space="preserve"> </v>
      </c>
      <c r="G91" s="11" t="str">
        <f>IF(MAIN!P58&lt;&gt;"",MAIN!P58," ")</f>
        <v xml:space="preserve"> </v>
      </c>
      <c r="H91" s="12" t="str">
        <f>IF(MAIN!Q58&lt;&gt;"",MAIN!Q58," ")</f>
        <v xml:space="preserve"> </v>
      </c>
    </row>
    <row r="92" spans="1:8" x14ac:dyDescent="0.25">
      <c r="A92" s="5">
        <v>28</v>
      </c>
      <c r="B92" s="11" t="str">
        <f>IF(MAIN!K59&lt;&gt;"",MAIN!K59," ")</f>
        <v xml:space="preserve"> </v>
      </c>
      <c r="C92" s="11" t="str">
        <f>IF(MAIN!L59&lt;&gt;"",MAIN!L59," ")</f>
        <v xml:space="preserve"> </v>
      </c>
      <c r="D92" s="11" t="str">
        <f>IF(MAIN!M59&lt;&gt;"",MAIN!M59," ")</f>
        <v xml:space="preserve"> </v>
      </c>
      <c r="E92" s="11" t="str">
        <f>IF(MAIN!N59&lt;&gt;"",MAIN!N59," ")</f>
        <v xml:space="preserve"> </v>
      </c>
      <c r="F92" s="11" t="str">
        <f>IF(MAIN!O59&lt;&gt;"",MAIN!O59," ")</f>
        <v xml:space="preserve"> </v>
      </c>
      <c r="G92" s="11" t="str">
        <f>IF(MAIN!P59&lt;&gt;"",MAIN!P59," ")</f>
        <v xml:space="preserve"> </v>
      </c>
      <c r="H92" s="12" t="str">
        <f>IF(MAIN!Q59&lt;&gt;"",MAIN!Q59," ")</f>
        <v xml:space="preserve"> </v>
      </c>
    </row>
    <row r="93" spans="1:8" x14ac:dyDescent="0.25">
      <c r="A93" s="5">
        <v>29</v>
      </c>
      <c r="B93" s="11" t="str">
        <f>IF(MAIN!K60&lt;&gt;"",MAIN!K60," ")</f>
        <v xml:space="preserve"> </v>
      </c>
      <c r="C93" s="11" t="str">
        <f>IF(MAIN!L60&lt;&gt;"",MAIN!L60," ")</f>
        <v xml:space="preserve"> </v>
      </c>
      <c r="D93" s="11" t="str">
        <f>IF(MAIN!M60&lt;&gt;"",MAIN!M60," ")</f>
        <v xml:space="preserve"> </v>
      </c>
      <c r="E93" s="11" t="str">
        <f>IF(MAIN!N60&lt;&gt;"",MAIN!N60," ")</f>
        <v xml:space="preserve"> </v>
      </c>
      <c r="F93" s="11" t="str">
        <f>IF(MAIN!O60&lt;&gt;"",MAIN!O60," ")</f>
        <v xml:space="preserve"> </v>
      </c>
      <c r="G93" s="11" t="str">
        <f>IF(MAIN!P60&lt;&gt;"",MAIN!P60," ")</f>
        <v xml:space="preserve"> </v>
      </c>
      <c r="H93" s="12" t="str">
        <f>IF(MAIN!Q60&lt;&gt;"",MAIN!Q60," ")</f>
        <v xml:space="preserve"> </v>
      </c>
    </row>
    <row r="94" spans="1:8" x14ac:dyDescent="0.25">
      <c r="A94" s="5">
        <v>30</v>
      </c>
      <c r="B94" s="11" t="str">
        <f>IF(MAIN!K61&lt;&gt;"",MAIN!K61," ")</f>
        <v xml:space="preserve"> </v>
      </c>
      <c r="C94" s="11" t="str">
        <f>IF(MAIN!L61&lt;&gt;"",MAIN!L61," ")</f>
        <v xml:space="preserve"> </v>
      </c>
      <c r="D94" s="11" t="str">
        <f>IF(MAIN!M61&lt;&gt;"",MAIN!M61," ")</f>
        <v xml:space="preserve"> </v>
      </c>
      <c r="E94" s="11" t="str">
        <f>IF(MAIN!N61&lt;&gt;"",MAIN!N61," ")</f>
        <v xml:space="preserve"> </v>
      </c>
      <c r="F94" s="11" t="str">
        <f>IF(MAIN!O61&lt;&gt;"",MAIN!O61," ")</f>
        <v xml:space="preserve"> </v>
      </c>
      <c r="G94" s="11" t="str">
        <f>IF(MAIN!P61&lt;&gt;"",MAIN!P61," ")</f>
        <v xml:space="preserve"> </v>
      </c>
      <c r="H94" s="12" t="str">
        <f>IF(MAIN!Q61&lt;&gt;"",MAIN!Q61," ")</f>
        <v xml:space="preserve"> </v>
      </c>
    </row>
    <row r="95" spans="1:8" x14ac:dyDescent="0.25">
      <c r="A95" s="10"/>
    </row>
    <row r="96" spans="1:8" x14ac:dyDescent="0.25">
      <c r="B96" s="102" t="str">
        <f xml:space="preserve"> "bàn giao cho " &amp; MAIN!B10 &amp;" - " &amp; MAIN!C10 &amp; " chuyển đến " &amp; MAIN!D10 &amp;" " &amp; MAIN!E10 &amp; " để cách ly theo quy định."</f>
        <v>bàn giao cho SACO - 2 chuyển đến KS Ibis Sai Gon South - Q7 để cách ly theo quy định.</v>
      </c>
      <c r="C96" s="102"/>
      <c r="D96" s="102"/>
      <c r="E96" s="102"/>
      <c r="F96" s="102"/>
      <c r="G96" s="102"/>
      <c r="H96" s="6"/>
    </row>
    <row r="97" spans="1:8" x14ac:dyDescent="0.25">
      <c r="A97" s="10"/>
      <c r="B97" s="102"/>
      <c r="C97" s="102"/>
      <c r="D97" s="102"/>
      <c r="E97" s="102"/>
      <c r="F97" s="102"/>
      <c r="G97" s="102"/>
    </row>
    <row r="98" spans="1:8" x14ac:dyDescent="0.25">
      <c r="C98" s="100" t="str">
        <f xml:space="preserve"> "Sân bay Tân Sơn Nhất,…. giờ…., ngày " &amp; DAY(MAIN!B5) &amp; " tháng " &amp; MONTH(MAIN!B5) &amp; " năm " &amp; YEAR(MAIN!B5)</f>
        <v>Sân bay Tân Sơn Nhất,…. giờ…., ngày 14 tháng 3 năm 2021</v>
      </c>
      <c r="D98" s="100"/>
      <c r="E98" s="100"/>
      <c r="F98" s="100"/>
      <c r="G98" s="100"/>
      <c r="H98" s="100"/>
    </row>
    <row r="99" spans="1:8" x14ac:dyDescent="0.25">
      <c r="B99" s="99" t="s">
        <v>15</v>
      </c>
      <c r="C99" s="100"/>
      <c r="E99" s="99" t="s">
        <v>16</v>
      </c>
      <c r="F99" s="99"/>
      <c r="G99" s="99"/>
      <c r="H99" s="99"/>
    </row>
    <row r="100" spans="1:8" x14ac:dyDescent="0.25">
      <c r="B100" s="101" t="s">
        <v>17</v>
      </c>
      <c r="C100" s="100"/>
      <c r="E100" s="101" t="s">
        <v>17</v>
      </c>
      <c r="F100" s="101"/>
      <c r="G100" s="101"/>
      <c r="H100" s="101"/>
    </row>
    <row r="104" spans="1:8" x14ac:dyDescent="0.25">
      <c r="G104" s="10" t="str">
        <f>MAIN!B3</f>
        <v>BS LÊ ĐẠI HOÀNG NGUYÊN</v>
      </c>
    </row>
  </sheetData>
  <mergeCells count="18">
    <mergeCell ref="B99:C99"/>
    <mergeCell ref="E99:H99"/>
    <mergeCell ref="B100:C100"/>
    <mergeCell ref="E100:H100"/>
    <mergeCell ref="E55:H55"/>
    <mergeCell ref="A56:H56"/>
    <mergeCell ref="A57:H57"/>
    <mergeCell ref="B96:G97"/>
    <mergeCell ref="C98:H98"/>
    <mergeCell ref="E3:H3"/>
    <mergeCell ref="A4:H4"/>
    <mergeCell ref="B47:C47"/>
    <mergeCell ref="E47:H47"/>
    <mergeCell ref="B48:C48"/>
    <mergeCell ref="E48:H48"/>
    <mergeCell ref="A5:H5"/>
    <mergeCell ref="C46:H46"/>
    <mergeCell ref="B44:G45"/>
  </mergeCells>
  <conditionalFormatting sqref="A12:D12 F12:H12">
    <cfRule type="duplicateValues" dxfId="34" priority="2"/>
  </conditionalFormatting>
  <conditionalFormatting sqref="A64:D64 F64:H64">
    <cfRule type="duplicateValues" dxfId="33" priority="1"/>
  </conditionalFormatting>
  <pageMargins left="0.70866141732283472" right="0.70866141732283472" top="0.74803149606299213" bottom="0.74803149606299213" header="0.31496062992125984" footer="0.31496062992125984"/>
  <pageSetup paperSize="9" scale="87" orientation="portrait" horizontalDpi="300" verticalDpi="300" r:id="rId1"/>
  <headerFooter>
    <oddFooter>&amp;C
&amp;P</oddFooter>
  </headerFooter>
  <rowBreaks count="1" manualBreakCount="1">
    <brk id="52" max="7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>
    <pageSetUpPr fitToPage="1"/>
  </sheetPr>
  <dimension ref="A1:AW247"/>
  <sheetViews>
    <sheetView zoomScale="90" zoomScaleNormal="90" workbookViewId="0">
      <pane ySplit="1" topLeftCell="A2" activePane="bottomLeft" state="frozen"/>
      <selection pane="bottomLeft" activeCell="J182" sqref="J182"/>
    </sheetView>
  </sheetViews>
  <sheetFormatPr defaultColWidth="9.140625" defaultRowHeight="18.75" x14ac:dyDescent="0.3"/>
  <cols>
    <col min="1" max="1" width="27.140625" style="45" customWidth="1"/>
    <col min="2" max="2" width="16.42578125" style="46" bestFit="1" customWidth="1"/>
    <col min="3" max="3" width="11.42578125" style="45" bestFit="1" customWidth="1"/>
    <col min="4" max="4" width="22.140625" style="45" customWidth="1"/>
    <col min="5" max="5" width="11.85546875" style="45" bestFit="1" customWidth="1"/>
    <col min="6" max="6" width="12.28515625" style="45" bestFit="1" customWidth="1"/>
    <col min="7" max="7" width="33.140625" style="45" customWidth="1"/>
    <col min="8" max="8" width="14.42578125" style="45" bestFit="1" customWidth="1"/>
    <col min="9" max="9" width="9.140625" style="50"/>
    <col min="10" max="10" width="18.140625" style="50" bestFit="1" customWidth="1"/>
    <col min="11" max="11" width="20.140625" style="50" bestFit="1" customWidth="1"/>
    <col min="12" max="12" width="9.140625" style="50"/>
    <col min="13" max="13" width="15.42578125" style="50" customWidth="1"/>
    <col min="14" max="14" width="15.85546875" style="50" customWidth="1"/>
    <col min="15" max="15" width="16.28515625" style="50" customWidth="1"/>
    <col min="16" max="16" width="14" style="50" customWidth="1"/>
    <col min="17" max="17" width="6.140625" style="50" customWidth="1"/>
    <col min="18" max="18" width="18.85546875" style="50" customWidth="1"/>
    <col min="19" max="19" width="12" style="50" customWidth="1"/>
    <col min="20" max="20" width="7" style="50" customWidth="1"/>
    <col min="21" max="21" width="6.140625" style="50" customWidth="1"/>
    <col min="22" max="22" width="20.140625" style="50" bestFit="1" customWidth="1"/>
    <col min="23" max="23" width="23.7109375" style="50" bestFit="1" customWidth="1"/>
    <col min="24" max="24" width="9.7109375" style="50" bestFit="1" customWidth="1"/>
    <col min="25" max="27" width="10.7109375" style="50" bestFit="1" customWidth="1"/>
    <col min="28" max="28" width="9.28515625" style="50" bestFit="1" customWidth="1"/>
    <col min="29" max="29" width="10.140625" style="50" bestFit="1" customWidth="1"/>
    <col min="30" max="30" width="7" style="50" customWidth="1"/>
    <col min="31" max="31" width="18.85546875" style="50" bestFit="1" customWidth="1"/>
    <col min="32" max="38" width="10" style="50" bestFit="1" customWidth="1"/>
    <col min="39" max="39" width="9.140625" style="50"/>
    <col min="40" max="41" width="9.7109375" style="50" bestFit="1" customWidth="1"/>
    <col min="42" max="44" width="10.7109375" style="50" bestFit="1" customWidth="1"/>
    <col min="45" max="45" width="9.28515625" style="50" bestFit="1" customWidth="1"/>
    <col min="46" max="46" width="10.140625" style="50" bestFit="1" customWidth="1"/>
    <col min="47" max="47" width="7" style="50" customWidth="1"/>
    <col min="48" max="48" width="20.140625" style="50" bestFit="1" customWidth="1"/>
    <col min="49" max="49" width="23.7109375" style="50" bestFit="1" customWidth="1"/>
    <col min="50" max="16384" width="9.140625" style="50"/>
  </cols>
  <sheetData>
    <row r="1" spans="1:49" s="51" customFormat="1" x14ac:dyDescent="0.3">
      <c r="A1" s="62" t="s">
        <v>136</v>
      </c>
      <c r="B1" s="77" t="s">
        <v>137</v>
      </c>
      <c r="C1" s="62" t="s">
        <v>138</v>
      </c>
      <c r="D1" s="62" t="s">
        <v>139</v>
      </c>
      <c r="E1" s="62" t="s">
        <v>140</v>
      </c>
      <c r="F1" s="62" t="s">
        <v>141</v>
      </c>
      <c r="G1" s="62" t="s">
        <v>142</v>
      </c>
      <c r="H1" s="62" t="s">
        <v>135</v>
      </c>
      <c r="J1" s="43" t="s">
        <v>53</v>
      </c>
      <c r="K1" s="43" t="s">
        <v>26</v>
      </c>
      <c r="M1" s="52" t="s">
        <v>132</v>
      </c>
      <c r="N1" s="53" t="s">
        <v>143</v>
      </c>
      <c r="O1"/>
      <c r="P1"/>
      <c r="Q1"/>
      <c r="R1"/>
      <c r="S1"/>
      <c r="T1"/>
      <c r="U1"/>
      <c r="V1"/>
      <c r="W1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</row>
    <row r="2" spans="1:49" hidden="1" x14ac:dyDescent="0.3">
      <c r="A2" s="45" t="s">
        <v>268</v>
      </c>
      <c r="B2" s="46" t="s">
        <v>269</v>
      </c>
      <c r="C2" s="45" t="s">
        <v>216</v>
      </c>
      <c r="D2" s="45" t="s">
        <v>51</v>
      </c>
      <c r="E2" s="45">
        <v>1</v>
      </c>
      <c r="F2" s="45" t="s">
        <v>28</v>
      </c>
      <c r="G2" s="45" t="s">
        <v>179</v>
      </c>
      <c r="H2" s="45" t="s">
        <v>144</v>
      </c>
      <c r="J2" s="63">
        <f>COUNTA(B:B)-1</f>
        <v>242</v>
      </c>
      <c r="K2" s="56" t="s">
        <v>94</v>
      </c>
      <c r="M2" s="54" t="s">
        <v>133</v>
      </c>
      <c r="N2" s="88"/>
      <c r="O2" s="42"/>
      <c r="P2" s="42"/>
      <c r="Q2" s="42"/>
      <c r="R2" s="42"/>
      <c r="S2" s="42"/>
      <c r="T2" s="42"/>
      <c r="U2" s="42"/>
      <c r="V2" s="42"/>
      <c r="W2" s="42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</row>
    <row r="3" spans="1:49" hidden="1" x14ac:dyDescent="0.3">
      <c r="A3" s="30" t="s">
        <v>270</v>
      </c>
      <c r="B3" s="73" t="s">
        <v>271</v>
      </c>
      <c r="C3" s="30" t="s">
        <v>216</v>
      </c>
      <c r="D3" s="30" t="s">
        <v>51</v>
      </c>
      <c r="E3" s="30">
        <v>1</v>
      </c>
      <c r="F3" s="30" t="s">
        <v>28</v>
      </c>
      <c r="G3" s="17" t="s">
        <v>179</v>
      </c>
      <c r="H3" s="45" t="s">
        <v>144</v>
      </c>
      <c r="M3" s="54" t="s">
        <v>170</v>
      </c>
      <c r="N3" s="88">
        <v>5</v>
      </c>
      <c r="O3" s="42"/>
      <c r="P3" s="42"/>
      <c r="Q3" s="42"/>
      <c r="R3" s="42"/>
      <c r="S3" s="42"/>
      <c r="T3" s="42"/>
      <c r="U3" s="42"/>
      <c r="V3" s="42"/>
      <c r="W3" s="42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</row>
    <row r="4" spans="1:49" hidden="1" x14ac:dyDescent="0.3">
      <c r="A4" s="45" t="s">
        <v>272</v>
      </c>
      <c r="B4" s="76" t="s">
        <v>273</v>
      </c>
      <c r="C4" s="45" t="s">
        <v>216</v>
      </c>
      <c r="D4" s="45" t="s">
        <v>51</v>
      </c>
      <c r="E4" s="45">
        <v>1</v>
      </c>
      <c r="F4" s="45" t="s">
        <v>28</v>
      </c>
      <c r="G4" s="17" t="s">
        <v>179</v>
      </c>
      <c r="H4" s="30" t="s">
        <v>144</v>
      </c>
      <c r="M4" s="54" t="s">
        <v>51</v>
      </c>
      <c r="N4" s="88">
        <v>5</v>
      </c>
      <c r="O4" s="42"/>
      <c r="P4" s="42"/>
      <c r="Q4" s="42"/>
      <c r="R4" s="42"/>
      <c r="S4" s="42"/>
      <c r="T4" s="42"/>
      <c r="U4" s="42"/>
      <c r="V4" s="42"/>
      <c r="W4" s="42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</row>
    <row r="5" spans="1:49" hidden="1" x14ac:dyDescent="0.3">
      <c r="A5" s="30" t="s">
        <v>274</v>
      </c>
      <c r="B5" s="73" t="s">
        <v>275</v>
      </c>
      <c r="C5" s="30" t="s">
        <v>216</v>
      </c>
      <c r="D5" s="30" t="s">
        <v>51</v>
      </c>
      <c r="E5" s="30">
        <v>1</v>
      </c>
      <c r="F5" s="30" t="s">
        <v>28</v>
      </c>
      <c r="G5" s="17" t="s">
        <v>179</v>
      </c>
      <c r="H5" s="30" t="s">
        <v>144</v>
      </c>
      <c r="M5" s="89">
        <v>1</v>
      </c>
      <c r="N5" s="90">
        <v>1</v>
      </c>
      <c r="O5" s="42"/>
      <c r="P5" s="42"/>
      <c r="Q5" s="42"/>
      <c r="R5" s="42"/>
      <c r="S5" s="42"/>
      <c r="T5" s="42"/>
      <c r="U5" s="42"/>
      <c r="V5" s="42"/>
      <c r="W5" s="42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</row>
    <row r="6" spans="1:49" hidden="1" x14ac:dyDescent="0.3">
      <c r="A6" s="45" t="s">
        <v>276</v>
      </c>
      <c r="B6" s="46" t="s">
        <v>277</v>
      </c>
      <c r="C6" s="45" t="s">
        <v>216</v>
      </c>
      <c r="D6" s="45" t="s">
        <v>51</v>
      </c>
      <c r="E6" s="45">
        <v>1</v>
      </c>
      <c r="F6" s="45" t="s">
        <v>28</v>
      </c>
      <c r="G6" s="14" t="s">
        <v>179</v>
      </c>
      <c r="H6" s="30" t="s">
        <v>144</v>
      </c>
      <c r="M6" s="91" t="s">
        <v>169</v>
      </c>
      <c r="N6" s="92">
        <v>1</v>
      </c>
      <c r="O6" s="42"/>
      <c r="P6" s="42"/>
      <c r="Q6" s="42"/>
      <c r="R6" s="42"/>
      <c r="S6" s="42"/>
      <c r="T6" s="42"/>
      <c r="U6" s="42"/>
      <c r="V6" s="42"/>
      <c r="W6" s="42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</row>
    <row r="7" spans="1:49" hidden="1" x14ac:dyDescent="0.3">
      <c r="A7" s="45" t="s">
        <v>278</v>
      </c>
      <c r="B7" s="46" t="s">
        <v>279</v>
      </c>
      <c r="C7" s="45" t="s">
        <v>216</v>
      </c>
      <c r="D7" s="45" t="s">
        <v>51</v>
      </c>
      <c r="E7" s="45">
        <v>2</v>
      </c>
      <c r="F7" s="45" t="s">
        <v>28</v>
      </c>
      <c r="G7" s="14" t="s">
        <v>280</v>
      </c>
      <c r="H7" s="30" t="s">
        <v>144</v>
      </c>
      <c r="M7" s="93">
        <v>2</v>
      </c>
      <c r="N7" s="94">
        <v>1</v>
      </c>
      <c r="O7" s="42"/>
      <c r="P7" s="42"/>
      <c r="Q7" s="42"/>
      <c r="R7" s="42"/>
      <c r="S7" s="42"/>
      <c r="T7" s="42"/>
      <c r="U7" s="42"/>
      <c r="V7" s="42"/>
      <c r="W7" s="42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</row>
    <row r="8" spans="1:49" hidden="1" x14ac:dyDescent="0.3">
      <c r="A8" s="45" t="s">
        <v>281</v>
      </c>
      <c r="B8" s="46" t="s">
        <v>282</v>
      </c>
      <c r="C8" s="45" t="s">
        <v>216</v>
      </c>
      <c r="D8" s="45" t="s">
        <v>51</v>
      </c>
      <c r="E8" s="45">
        <v>3</v>
      </c>
      <c r="F8" s="45" t="s">
        <v>28</v>
      </c>
      <c r="G8" s="14" t="s">
        <v>176</v>
      </c>
      <c r="H8" s="30" t="s">
        <v>144</v>
      </c>
      <c r="M8" s="91" t="s">
        <v>169</v>
      </c>
      <c r="N8" s="92">
        <v>1</v>
      </c>
      <c r="O8" s="42"/>
      <c r="P8" s="42"/>
      <c r="Q8" s="42"/>
      <c r="R8" s="42"/>
      <c r="S8" s="42"/>
      <c r="T8" s="42"/>
      <c r="U8" s="42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</row>
    <row r="9" spans="1:49" hidden="1" x14ac:dyDescent="0.3">
      <c r="A9" s="45" t="s">
        <v>283</v>
      </c>
      <c r="B9" s="46" t="s">
        <v>284</v>
      </c>
      <c r="C9" s="47" t="s">
        <v>216</v>
      </c>
      <c r="D9" s="45" t="s">
        <v>51</v>
      </c>
      <c r="E9" s="45">
        <v>4</v>
      </c>
      <c r="F9" s="45" t="s">
        <v>28</v>
      </c>
      <c r="G9" s="14" t="s">
        <v>179</v>
      </c>
      <c r="H9" s="30" t="s">
        <v>144</v>
      </c>
      <c r="M9" s="93">
        <v>3</v>
      </c>
      <c r="N9" s="94">
        <v>2</v>
      </c>
      <c r="O9" s="42"/>
      <c r="P9" s="42"/>
      <c r="Q9" s="42"/>
      <c r="R9" s="42"/>
      <c r="S9" s="42"/>
      <c r="T9" s="42"/>
      <c r="U9" s="42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</row>
    <row r="10" spans="1:49" hidden="1" x14ac:dyDescent="0.3">
      <c r="A10" s="45" t="s">
        <v>285</v>
      </c>
      <c r="B10" s="46" t="s">
        <v>286</v>
      </c>
      <c r="C10" s="45" t="s">
        <v>216</v>
      </c>
      <c r="D10" s="45" t="s">
        <v>51</v>
      </c>
      <c r="E10" s="45">
        <v>5</v>
      </c>
      <c r="F10" s="45" t="s">
        <v>28</v>
      </c>
      <c r="G10" s="17" t="s">
        <v>280</v>
      </c>
      <c r="H10" s="30" t="s">
        <v>144</v>
      </c>
      <c r="M10" s="91" t="s">
        <v>169</v>
      </c>
      <c r="N10" s="92">
        <v>2</v>
      </c>
      <c r="O10" s="42"/>
      <c r="P10" s="42"/>
      <c r="Q10" s="42"/>
      <c r="R10" s="42"/>
      <c r="S10" s="42"/>
      <c r="T10" s="42"/>
      <c r="U10" s="42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</row>
    <row r="11" spans="1:49" hidden="1" x14ac:dyDescent="0.3">
      <c r="A11" s="65" t="s">
        <v>287</v>
      </c>
      <c r="B11" s="74" t="s">
        <v>288</v>
      </c>
      <c r="C11" s="48" t="s">
        <v>216</v>
      </c>
      <c r="D11" s="30" t="s">
        <v>51</v>
      </c>
      <c r="E11" s="65">
        <v>6</v>
      </c>
      <c r="F11" s="30" t="s">
        <v>28</v>
      </c>
      <c r="G11" s="17" t="s">
        <v>289</v>
      </c>
      <c r="H11" s="30" t="s">
        <v>144</v>
      </c>
      <c r="M11" s="93">
        <v>4</v>
      </c>
      <c r="N11" s="94">
        <v>1</v>
      </c>
      <c r="O11" s="42"/>
      <c r="P11" s="42"/>
      <c r="Q11" s="42"/>
      <c r="R11" s="42"/>
      <c r="S11" s="42"/>
      <c r="T11" s="42"/>
      <c r="U11" s="42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</row>
    <row r="12" spans="1:49" hidden="1" x14ac:dyDescent="0.3">
      <c r="A12" s="30" t="s">
        <v>290</v>
      </c>
      <c r="B12" s="73" t="s">
        <v>291</v>
      </c>
      <c r="C12" s="48" t="s">
        <v>216</v>
      </c>
      <c r="D12" s="30" t="s">
        <v>51</v>
      </c>
      <c r="E12" s="30">
        <v>7</v>
      </c>
      <c r="F12" s="30" t="s">
        <v>28</v>
      </c>
      <c r="G12" s="14" t="s">
        <v>179</v>
      </c>
      <c r="H12" s="30" t="s">
        <v>144</v>
      </c>
      <c r="M12" s="91" t="s">
        <v>169</v>
      </c>
      <c r="N12" s="92">
        <v>1</v>
      </c>
      <c r="O12" s="42"/>
      <c r="P12" s="42"/>
      <c r="Q12" s="42"/>
      <c r="R12" s="42"/>
      <c r="S12" s="42"/>
      <c r="T12" s="42"/>
      <c r="U12" s="42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</row>
    <row r="13" spans="1:49" hidden="1" x14ac:dyDescent="0.3">
      <c r="A13" s="30" t="s">
        <v>292</v>
      </c>
      <c r="B13" s="58" t="s">
        <v>293</v>
      </c>
      <c r="C13" s="48" t="s">
        <v>216</v>
      </c>
      <c r="D13" s="30" t="s">
        <v>51</v>
      </c>
      <c r="E13" s="45">
        <v>8</v>
      </c>
      <c r="F13" s="30" t="s">
        <v>28</v>
      </c>
      <c r="G13" s="14" t="s">
        <v>294</v>
      </c>
      <c r="H13" s="30" t="s">
        <v>144</v>
      </c>
      <c r="M13" s="54" t="s">
        <v>134</v>
      </c>
      <c r="N13" s="88">
        <v>5</v>
      </c>
      <c r="O13" s="42"/>
      <c r="P13" s="42"/>
      <c r="Q13" s="42"/>
      <c r="R13" s="42"/>
      <c r="S13" s="42"/>
      <c r="T13" s="42"/>
      <c r="U13" s="42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</row>
    <row r="14" spans="1:49" hidden="1" x14ac:dyDescent="0.3">
      <c r="A14" s="30" t="s">
        <v>295</v>
      </c>
      <c r="B14" s="58" t="s">
        <v>296</v>
      </c>
      <c r="C14" s="45" t="s">
        <v>216</v>
      </c>
      <c r="D14" s="30" t="s">
        <v>51</v>
      </c>
      <c r="E14" s="30">
        <v>9</v>
      </c>
      <c r="F14" s="30" t="s">
        <v>28</v>
      </c>
      <c r="G14" s="14" t="s">
        <v>175</v>
      </c>
      <c r="H14" s="30" t="s">
        <v>144</v>
      </c>
      <c r="M14" s="42"/>
      <c r="N14" s="42"/>
      <c r="O14" s="42"/>
      <c r="P14" s="42"/>
      <c r="Q14" s="42"/>
      <c r="R14" s="42"/>
      <c r="S14" s="42"/>
      <c r="T14" s="42"/>
      <c r="U14" s="42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</row>
    <row r="15" spans="1:49" hidden="1" x14ac:dyDescent="0.3">
      <c r="A15" s="30" t="s">
        <v>281</v>
      </c>
      <c r="B15" s="58" t="s">
        <v>282</v>
      </c>
      <c r="C15" s="48" t="s">
        <v>216</v>
      </c>
      <c r="D15" s="30" t="s">
        <v>51</v>
      </c>
      <c r="E15" s="45">
        <v>10</v>
      </c>
      <c r="F15" s="30" t="s">
        <v>28</v>
      </c>
      <c r="G15" s="17" t="s">
        <v>176</v>
      </c>
      <c r="H15" s="45" t="s">
        <v>144</v>
      </c>
      <c r="M15" s="42"/>
      <c r="N15" s="42"/>
      <c r="O15" s="42"/>
      <c r="P15" s="42"/>
      <c r="Q15" s="42"/>
      <c r="R15" s="42"/>
      <c r="S15" s="42"/>
      <c r="T15" s="42"/>
      <c r="U15" s="42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</row>
    <row r="16" spans="1:49" hidden="1" x14ac:dyDescent="0.3">
      <c r="A16" s="45" t="s">
        <v>297</v>
      </c>
      <c r="B16" s="46" t="s">
        <v>298</v>
      </c>
      <c r="C16" s="45" t="s">
        <v>216</v>
      </c>
      <c r="D16" s="45" t="s">
        <v>51</v>
      </c>
      <c r="E16" s="45">
        <v>11</v>
      </c>
      <c r="F16" s="45" t="s">
        <v>28</v>
      </c>
      <c r="G16" s="17" t="s">
        <v>176</v>
      </c>
      <c r="H16" s="30" t="s">
        <v>144</v>
      </c>
      <c r="I16" s="58"/>
      <c r="J16" s="48"/>
      <c r="K16" s="30"/>
      <c r="L16" s="30"/>
      <c r="M16" s="42"/>
      <c r="N16" s="42"/>
      <c r="O16" s="42"/>
      <c r="P16" s="42"/>
      <c r="Q16" s="42"/>
      <c r="R16" s="42"/>
      <c r="S16" s="42"/>
      <c r="T16" s="42"/>
      <c r="U16" s="42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</row>
    <row r="17" spans="1:49" hidden="1" x14ac:dyDescent="0.3">
      <c r="A17" s="45" t="s">
        <v>299</v>
      </c>
      <c r="B17" s="46" t="s">
        <v>300</v>
      </c>
      <c r="C17" s="45" t="s">
        <v>216</v>
      </c>
      <c r="D17" s="45" t="s">
        <v>51</v>
      </c>
      <c r="E17" s="45">
        <v>12</v>
      </c>
      <c r="F17" s="45" t="s">
        <v>28</v>
      </c>
      <c r="G17" s="17" t="s">
        <v>179</v>
      </c>
      <c r="H17" s="30" t="s">
        <v>144</v>
      </c>
      <c r="I17" s="58"/>
      <c r="J17" s="48"/>
      <c r="K17" s="30"/>
      <c r="L17" s="30"/>
      <c r="M17" s="42"/>
      <c r="N17" s="42"/>
      <c r="O17" s="42"/>
      <c r="P17" s="42"/>
      <c r="Q17" s="42"/>
      <c r="R17" s="42"/>
      <c r="S17" s="42"/>
      <c r="T17" s="42"/>
      <c r="U17" s="42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</row>
    <row r="18" spans="1:49" hidden="1" x14ac:dyDescent="0.3">
      <c r="A18" s="45" t="s">
        <v>301</v>
      </c>
      <c r="B18" s="46" t="s">
        <v>302</v>
      </c>
      <c r="C18" s="45" t="s">
        <v>216</v>
      </c>
      <c r="D18" s="45" t="s">
        <v>51</v>
      </c>
      <c r="E18" s="45">
        <v>13</v>
      </c>
      <c r="F18" s="45" t="s">
        <v>28</v>
      </c>
      <c r="G18" s="45" t="s">
        <v>303</v>
      </c>
      <c r="H18" s="30" t="s">
        <v>144</v>
      </c>
      <c r="I18" s="58"/>
      <c r="J18" s="48"/>
      <c r="K18" s="30"/>
      <c r="L18" s="30"/>
      <c r="M18" s="42"/>
      <c r="N18" s="42"/>
      <c r="O18" s="42"/>
      <c r="P18" s="42"/>
      <c r="Q18" s="42"/>
      <c r="R18" s="42"/>
      <c r="S18" s="42"/>
      <c r="T18" s="42"/>
      <c r="U18" s="42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</row>
    <row r="19" spans="1:49" hidden="1" x14ac:dyDescent="0.3">
      <c r="A19" s="45" t="s">
        <v>304</v>
      </c>
      <c r="B19" s="46" t="s">
        <v>305</v>
      </c>
      <c r="C19" s="45" t="s">
        <v>216</v>
      </c>
      <c r="D19" s="45" t="s">
        <v>51</v>
      </c>
      <c r="E19" s="45">
        <v>14</v>
      </c>
      <c r="F19" s="45" t="s">
        <v>28</v>
      </c>
      <c r="G19" s="45" t="s">
        <v>280</v>
      </c>
      <c r="H19" s="30" t="s">
        <v>144</v>
      </c>
      <c r="I19" s="58"/>
      <c r="J19" s="48"/>
      <c r="K19" s="30"/>
      <c r="L19" s="30"/>
      <c r="M19" s="42"/>
      <c r="N19" s="42"/>
      <c r="O19" s="42"/>
      <c r="P19" s="42"/>
      <c r="Q19" s="42"/>
      <c r="R19" s="42"/>
      <c r="S19" s="42"/>
      <c r="T19" s="42"/>
      <c r="U19" s="42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</row>
    <row r="20" spans="1:49" hidden="1" x14ac:dyDescent="0.3">
      <c r="A20" s="45" t="s">
        <v>306</v>
      </c>
      <c r="B20" s="46" t="s">
        <v>307</v>
      </c>
      <c r="C20" s="45" t="s">
        <v>216</v>
      </c>
      <c r="D20" s="45" t="s">
        <v>51</v>
      </c>
      <c r="E20" s="45">
        <v>15</v>
      </c>
      <c r="F20" s="45" t="s">
        <v>28</v>
      </c>
      <c r="G20" s="45" t="s">
        <v>308</v>
      </c>
      <c r="H20" s="45" t="s">
        <v>144</v>
      </c>
      <c r="I20" s="58"/>
      <c r="J20" s="48"/>
      <c r="K20" s="30"/>
      <c r="L20" s="30"/>
      <c r="M20" s="42"/>
      <c r="N20" s="42"/>
      <c r="O20" s="42"/>
      <c r="P20" s="42"/>
      <c r="Q20" s="42"/>
      <c r="R20" s="42"/>
      <c r="S20" s="42"/>
      <c r="T20" s="42"/>
      <c r="U20" s="42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</row>
    <row r="21" spans="1:49" hidden="1" x14ac:dyDescent="0.3">
      <c r="A21" s="45" t="s">
        <v>309</v>
      </c>
      <c r="B21" s="46" t="s">
        <v>310</v>
      </c>
      <c r="C21" s="45" t="s">
        <v>216</v>
      </c>
      <c r="D21" s="45" t="s">
        <v>51</v>
      </c>
      <c r="E21" s="30">
        <v>16</v>
      </c>
      <c r="F21" s="45" t="s">
        <v>28</v>
      </c>
      <c r="G21" s="17" t="s">
        <v>311</v>
      </c>
      <c r="H21" s="30" t="s">
        <v>144</v>
      </c>
      <c r="I21" s="58"/>
      <c r="J21" s="48"/>
      <c r="K21" s="30"/>
      <c r="L21" s="30"/>
      <c r="M21" s="42"/>
      <c r="N21" s="42"/>
      <c r="O21" s="42"/>
      <c r="P21" s="42"/>
      <c r="Q21" s="42"/>
      <c r="R21" s="42"/>
      <c r="S21" s="42"/>
      <c r="T21" s="42"/>
      <c r="U21" s="42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</row>
    <row r="22" spans="1:49" hidden="1" x14ac:dyDescent="0.3">
      <c r="A22" s="45" t="s">
        <v>312</v>
      </c>
      <c r="B22" s="76" t="s">
        <v>313</v>
      </c>
      <c r="C22" s="45" t="s">
        <v>216</v>
      </c>
      <c r="D22" s="45" t="s">
        <v>51</v>
      </c>
      <c r="E22" s="30">
        <v>17</v>
      </c>
      <c r="F22" s="45" t="s">
        <v>28</v>
      </c>
      <c r="G22" s="17" t="s">
        <v>314</v>
      </c>
      <c r="H22" s="30" t="s">
        <v>144</v>
      </c>
      <c r="I22" s="64"/>
      <c r="J22" s="48"/>
      <c r="K22" s="30"/>
      <c r="L22" s="60"/>
      <c r="M22" s="42"/>
      <c r="N22" s="42"/>
      <c r="O22" s="42"/>
      <c r="P22" s="42"/>
      <c r="Q22" s="42"/>
      <c r="R22" s="42"/>
      <c r="S22" s="42"/>
      <c r="T22" s="42"/>
      <c r="U22" s="42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</row>
    <row r="23" spans="1:49" hidden="1" x14ac:dyDescent="0.3">
      <c r="A23" s="30" t="s">
        <v>315</v>
      </c>
      <c r="B23" s="58" t="s">
        <v>316</v>
      </c>
      <c r="C23" s="30" t="s">
        <v>216</v>
      </c>
      <c r="D23" s="30" t="s">
        <v>51</v>
      </c>
      <c r="E23" s="30">
        <v>17</v>
      </c>
      <c r="F23" s="30" t="s">
        <v>28</v>
      </c>
      <c r="G23" s="17" t="s">
        <v>314</v>
      </c>
      <c r="H23" s="30" t="s">
        <v>144</v>
      </c>
      <c r="I23" s="58"/>
      <c r="J23" s="48"/>
      <c r="K23" s="30"/>
      <c r="L23" s="30"/>
      <c r="M23" s="42"/>
      <c r="N23" s="42"/>
      <c r="O23" s="42"/>
      <c r="P23" s="42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</row>
    <row r="24" spans="1:49" hidden="1" x14ac:dyDescent="0.3">
      <c r="A24" s="45" t="s">
        <v>317</v>
      </c>
      <c r="B24" s="46" t="s">
        <v>318</v>
      </c>
      <c r="C24" s="47" t="s">
        <v>216</v>
      </c>
      <c r="D24" s="45" t="s">
        <v>51</v>
      </c>
      <c r="E24" s="45">
        <v>18</v>
      </c>
      <c r="F24" s="45" t="s">
        <v>28</v>
      </c>
      <c r="G24" s="14" t="s">
        <v>311</v>
      </c>
      <c r="H24" s="30" t="s">
        <v>144</v>
      </c>
      <c r="I24" s="66"/>
      <c r="J24" s="48"/>
      <c r="K24" s="30"/>
      <c r="L24" s="65"/>
      <c r="M24" s="42"/>
      <c r="N24" s="42"/>
      <c r="O24" s="30"/>
      <c r="P24" s="17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</row>
    <row r="25" spans="1:49" hidden="1" x14ac:dyDescent="0.3">
      <c r="A25" s="30" t="s">
        <v>319</v>
      </c>
      <c r="B25" s="73" t="s">
        <v>320</v>
      </c>
      <c r="C25" s="30" t="s">
        <v>216</v>
      </c>
      <c r="D25" s="30" t="s">
        <v>51</v>
      </c>
      <c r="E25" s="30">
        <v>19</v>
      </c>
      <c r="F25" s="30" t="s">
        <v>28</v>
      </c>
      <c r="G25" s="14" t="s">
        <v>321</v>
      </c>
      <c r="H25" s="30" t="s">
        <v>144</v>
      </c>
      <c r="I25" s="58"/>
      <c r="J25" s="48"/>
      <c r="K25" s="30"/>
      <c r="L25" s="30"/>
      <c r="M25" s="42"/>
      <c r="N25" s="42"/>
      <c r="O25" s="30"/>
      <c r="P25" s="17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</row>
    <row r="26" spans="1:49" hidden="1" x14ac:dyDescent="0.3">
      <c r="A26" s="45" t="s">
        <v>322</v>
      </c>
      <c r="B26" s="46" t="s">
        <v>323</v>
      </c>
      <c r="C26" s="45" t="s">
        <v>216</v>
      </c>
      <c r="D26" s="45" t="s">
        <v>51</v>
      </c>
      <c r="E26" s="45">
        <v>19</v>
      </c>
      <c r="F26" s="45" t="s">
        <v>28</v>
      </c>
      <c r="G26" s="17" t="s">
        <v>321</v>
      </c>
      <c r="H26" s="30" t="s">
        <v>144</v>
      </c>
      <c r="I26" s="58"/>
      <c r="J26" s="48"/>
      <c r="K26" s="30"/>
      <c r="L26" s="30"/>
      <c r="M26" s="42"/>
      <c r="N26" s="42"/>
      <c r="O26" s="30"/>
      <c r="P26" s="17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</row>
    <row r="27" spans="1:49" hidden="1" x14ac:dyDescent="0.3">
      <c r="A27" s="30" t="s">
        <v>324</v>
      </c>
      <c r="B27" s="73" t="s">
        <v>325</v>
      </c>
      <c r="C27" s="48" t="s">
        <v>216</v>
      </c>
      <c r="D27" s="30" t="s">
        <v>51</v>
      </c>
      <c r="E27" s="30">
        <v>20</v>
      </c>
      <c r="F27" s="30" t="s">
        <v>28</v>
      </c>
      <c r="G27" s="14" t="s">
        <v>178</v>
      </c>
      <c r="H27" s="30" t="s">
        <v>144</v>
      </c>
      <c r="I27" s="58"/>
      <c r="J27" s="48"/>
      <c r="K27" s="30"/>
      <c r="L27" s="30"/>
      <c r="M27" s="42"/>
      <c r="N27" s="42"/>
      <c r="O27" s="30"/>
      <c r="P27" s="17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</row>
    <row r="28" spans="1:49" hidden="1" x14ac:dyDescent="0.3">
      <c r="A28" s="30" t="s">
        <v>326</v>
      </c>
      <c r="B28" s="58" t="s">
        <v>327</v>
      </c>
      <c r="C28" s="45" t="s">
        <v>216</v>
      </c>
      <c r="D28" s="30" t="s">
        <v>51</v>
      </c>
      <c r="E28" s="30">
        <v>21</v>
      </c>
      <c r="F28" s="30" t="s">
        <v>28</v>
      </c>
      <c r="G28" s="14" t="s">
        <v>179</v>
      </c>
      <c r="H28" s="30" t="s">
        <v>144</v>
      </c>
      <c r="I28" s="58"/>
      <c r="J28" s="48"/>
      <c r="K28" s="30"/>
      <c r="L28" s="30"/>
      <c r="M28" s="42"/>
      <c r="N28" s="42"/>
      <c r="O28" s="30"/>
      <c r="P28" s="17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</row>
    <row r="29" spans="1:49" hidden="1" x14ac:dyDescent="0.3">
      <c r="A29" s="60" t="s">
        <v>328</v>
      </c>
      <c r="B29" s="58" t="s">
        <v>329</v>
      </c>
      <c r="C29" s="45" t="s">
        <v>216</v>
      </c>
      <c r="D29" s="30" t="s">
        <v>51</v>
      </c>
      <c r="E29" s="30">
        <v>22</v>
      </c>
      <c r="F29" s="30" t="s">
        <v>28</v>
      </c>
      <c r="G29" s="14" t="s">
        <v>176</v>
      </c>
      <c r="H29" s="45" t="s">
        <v>144</v>
      </c>
      <c r="I29" s="66"/>
      <c r="J29" s="48"/>
      <c r="K29" s="30"/>
      <c r="L29" s="65"/>
      <c r="M29" s="42"/>
      <c r="N29" s="42"/>
      <c r="O29" s="30"/>
      <c r="P29" s="17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</row>
    <row r="30" spans="1:49" hidden="1" x14ac:dyDescent="0.3">
      <c r="A30" s="45" t="s">
        <v>330</v>
      </c>
      <c r="B30" s="46" t="s">
        <v>331</v>
      </c>
      <c r="C30" s="45" t="s">
        <v>216</v>
      </c>
      <c r="D30" s="45" t="s">
        <v>51</v>
      </c>
      <c r="E30" s="45">
        <v>23</v>
      </c>
      <c r="F30" s="45" t="s">
        <v>28</v>
      </c>
      <c r="G30" s="14" t="s">
        <v>179</v>
      </c>
      <c r="H30" s="30" t="s">
        <v>144</v>
      </c>
      <c r="I30" s="58"/>
      <c r="J30" s="48"/>
      <c r="K30" s="30"/>
      <c r="L30" s="30"/>
      <c r="M30" s="42"/>
      <c r="N30" s="42"/>
      <c r="O30" s="30"/>
      <c r="P30" s="17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</row>
    <row r="31" spans="1:49" hidden="1" x14ac:dyDescent="0.3">
      <c r="A31" s="45" t="s">
        <v>332</v>
      </c>
      <c r="B31" s="46" t="s">
        <v>333</v>
      </c>
      <c r="C31" s="45" t="s">
        <v>216</v>
      </c>
      <c r="D31" s="45" t="s">
        <v>51</v>
      </c>
      <c r="E31" s="45">
        <v>24</v>
      </c>
      <c r="F31" s="45" t="s">
        <v>28</v>
      </c>
      <c r="G31" s="14" t="s">
        <v>179</v>
      </c>
      <c r="H31" s="30" t="s">
        <v>144</v>
      </c>
      <c r="I31" s="58"/>
      <c r="J31" s="48"/>
      <c r="K31" s="30"/>
      <c r="L31" s="30"/>
      <c r="M31" s="42"/>
      <c r="N31" s="42"/>
      <c r="O31" s="30"/>
      <c r="P31" s="17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</row>
    <row r="32" spans="1:49" hidden="1" x14ac:dyDescent="0.3">
      <c r="A32" s="45" t="s">
        <v>334</v>
      </c>
      <c r="B32" s="46" t="s">
        <v>335</v>
      </c>
      <c r="C32" s="47" t="s">
        <v>216</v>
      </c>
      <c r="D32" s="45" t="s">
        <v>51</v>
      </c>
      <c r="E32" s="45">
        <v>25</v>
      </c>
      <c r="F32" s="45" t="s">
        <v>28</v>
      </c>
      <c r="G32" s="14" t="s">
        <v>311</v>
      </c>
      <c r="H32" s="45" t="s">
        <v>144</v>
      </c>
      <c r="I32" s="58"/>
      <c r="J32" s="48"/>
      <c r="K32" s="30"/>
      <c r="L32" s="30"/>
      <c r="M32" s="42"/>
      <c r="N32" s="42"/>
      <c r="O32" s="30"/>
      <c r="P32" s="17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</row>
    <row r="33" spans="1:49" hidden="1" x14ac:dyDescent="0.3">
      <c r="A33" s="45" t="s">
        <v>336</v>
      </c>
      <c r="B33" s="76" t="s">
        <v>337</v>
      </c>
      <c r="C33" s="45" t="s">
        <v>216</v>
      </c>
      <c r="D33" s="45" t="s">
        <v>51</v>
      </c>
      <c r="E33" s="45">
        <v>26</v>
      </c>
      <c r="F33" s="45" t="s">
        <v>28</v>
      </c>
      <c r="G33" s="17" t="s">
        <v>338</v>
      </c>
      <c r="H33" s="45" t="s">
        <v>144</v>
      </c>
      <c r="I33" s="58"/>
      <c r="J33" s="48"/>
      <c r="K33" s="30"/>
      <c r="L33" s="30"/>
      <c r="M33" s="42"/>
      <c r="N33" s="42"/>
      <c r="O33" s="30"/>
      <c r="P33" s="6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</row>
    <row r="34" spans="1:49" hidden="1" x14ac:dyDescent="0.3">
      <c r="A34" s="45" t="s">
        <v>339</v>
      </c>
      <c r="B34" s="76" t="s">
        <v>340</v>
      </c>
      <c r="C34" s="45" t="s">
        <v>216</v>
      </c>
      <c r="D34" s="45" t="s">
        <v>51</v>
      </c>
      <c r="E34" s="45">
        <v>27</v>
      </c>
      <c r="F34" s="45" t="s">
        <v>28</v>
      </c>
      <c r="G34" s="17" t="s">
        <v>341</v>
      </c>
      <c r="H34" s="30" t="s">
        <v>144</v>
      </c>
      <c r="I34" s="58"/>
      <c r="J34" s="48"/>
      <c r="K34" s="30"/>
      <c r="L34" s="30"/>
      <c r="M34" s="42"/>
      <c r="N34" s="42"/>
      <c r="O34" s="30"/>
      <c r="P34" s="6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</row>
    <row r="35" spans="1:49" hidden="1" x14ac:dyDescent="0.3">
      <c r="A35" s="45" t="s">
        <v>342</v>
      </c>
      <c r="B35" s="76" t="s">
        <v>343</v>
      </c>
      <c r="C35" s="47" t="s">
        <v>216</v>
      </c>
      <c r="D35" s="45" t="s">
        <v>51</v>
      </c>
      <c r="E35" s="30">
        <v>27</v>
      </c>
      <c r="F35" s="45" t="s">
        <v>28</v>
      </c>
      <c r="G35" s="14" t="s">
        <v>341</v>
      </c>
      <c r="H35" s="45" t="s">
        <v>144</v>
      </c>
      <c r="I35" s="58"/>
      <c r="J35" s="48"/>
      <c r="K35" s="30"/>
      <c r="L35" s="30"/>
      <c r="M35" s="42"/>
      <c r="N35" s="42"/>
      <c r="O35" s="30"/>
      <c r="P35" s="65"/>
    </row>
    <row r="36" spans="1:49" hidden="1" x14ac:dyDescent="0.3">
      <c r="A36" s="45" t="s">
        <v>344</v>
      </c>
      <c r="B36" s="76" t="s">
        <v>345</v>
      </c>
      <c r="C36" s="45" t="s">
        <v>216</v>
      </c>
      <c r="D36" s="45" t="s">
        <v>51</v>
      </c>
      <c r="E36" s="45">
        <v>27</v>
      </c>
      <c r="F36" s="45" t="s">
        <v>28</v>
      </c>
      <c r="G36" s="14" t="s">
        <v>341</v>
      </c>
      <c r="H36" s="45" t="s">
        <v>144</v>
      </c>
      <c r="I36" s="58"/>
      <c r="J36" s="48"/>
      <c r="K36" s="30"/>
      <c r="L36" s="30"/>
      <c r="M36" s="42"/>
      <c r="N36" s="42"/>
      <c r="O36" s="30"/>
      <c r="P36" s="65"/>
    </row>
    <row r="37" spans="1:49" hidden="1" x14ac:dyDescent="0.3">
      <c r="A37" s="45" t="s">
        <v>346</v>
      </c>
      <c r="B37" s="76" t="s">
        <v>347</v>
      </c>
      <c r="C37" s="45" t="s">
        <v>216</v>
      </c>
      <c r="D37" s="45" t="s">
        <v>51</v>
      </c>
      <c r="E37" s="45">
        <v>28</v>
      </c>
      <c r="F37" s="45" t="s">
        <v>28</v>
      </c>
      <c r="G37" s="14" t="s">
        <v>348</v>
      </c>
      <c r="H37" s="30" t="s">
        <v>144</v>
      </c>
      <c r="I37" s="58"/>
      <c r="J37" s="48"/>
      <c r="K37" s="30"/>
      <c r="L37" s="30"/>
      <c r="M37" s="42"/>
      <c r="N37" s="42"/>
      <c r="O37" s="30"/>
      <c r="P37" s="65"/>
    </row>
    <row r="38" spans="1:49" hidden="1" x14ac:dyDescent="0.3">
      <c r="A38" s="30" t="s">
        <v>349</v>
      </c>
      <c r="B38" s="73" t="s">
        <v>350</v>
      </c>
      <c r="C38" s="48" t="s">
        <v>216</v>
      </c>
      <c r="D38" s="30" t="s">
        <v>51</v>
      </c>
      <c r="E38" s="30">
        <v>28</v>
      </c>
      <c r="F38" s="30" t="s">
        <v>28</v>
      </c>
      <c r="G38" s="14" t="s">
        <v>348</v>
      </c>
      <c r="H38" s="30" t="s">
        <v>144</v>
      </c>
      <c r="I38" s="58"/>
      <c r="J38" s="48"/>
      <c r="K38" s="30"/>
      <c r="L38" s="30"/>
      <c r="M38" s="42"/>
      <c r="N38" s="42"/>
      <c r="O38" s="30"/>
      <c r="P38" s="65"/>
    </row>
    <row r="39" spans="1:49" hidden="1" x14ac:dyDescent="0.3">
      <c r="A39" s="30" t="s">
        <v>351</v>
      </c>
      <c r="B39" s="73" t="s">
        <v>352</v>
      </c>
      <c r="C39" s="48" t="s">
        <v>216</v>
      </c>
      <c r="D39" s="30" t="s">
        <v>51</v>
      </c>
      <c r="E39" s="30">
        <v>28</v>
      </c>
      <c r="F39" s="30" t="s">
        <v>28</v>
      </c>
      <c r="G39" s="14" t="s">
        <v>348</v>
      </c>
      <c r="H39" s="30" t="s">
        <v>144</v>
      </c>
      <c r="I39" s="64"/>
      <c r="J39" s="48"/>
      <c r="K39" s="30"/>
      <c r="L39" s="60"/>
      <c r="M39" s="42"/>
      <c r="N39" s="42"/>
      <c r="O39" s="30"/>
      <c r="P39" s="65"/>
    </row>
    <row r="40" spans="1:49" hidden="1" x14ac:dyDescent="0.3">
      <c r="A40" s="30" t="s">
        <v>353</v>
      </c>
      <c r="B40" s="73" t="s">
        <v>354</v>
      </c>
      <c r="C40" s="30" t="s">
        <v>216</v>
      </c>
      <c r="D40" s="30" t="s">
        <v>51</v>
      </c>
      <c r="E40" s="30">
        <v>28</v>
      </c>
      <c r="F40" s="30" t="s">
        <v>28</v>
      </c>
      <c r="G40" s="14" t="s">
        <v>348</v>
      </c>
      <c r="H40" s="30" t="s">
        <v>144</v>
      </c>
      <c r="I40" s="58"/>
      <c r="J40" s="48"/>
      <c r="K40" s="30"/>
      <c r="L40" s="30"/>
      <c r="M40" s="42"/>
      <c r="N40" s="42"/>
      <c r="O40" s="30"/>
      <c r="P40" s="17"/>
    </row>
    <row r="41" spans="1:49" hidden="1" x14ac:dyDescent="0.3">
      <c r="A41" s="30" t="s">
        <v>355</v>
      </c>
      <c r="B41" s="73" t="s">
        <v>356</v>
      </c>
      <c r="C41" s="48" t="s">
        <v>216</v>
      </c>
      <c r="D41" s="30" t="s">
        <v>51</v>
      </c>
      <c r="E41" s="30">
        <v>28</v>
      </c>
      <c r="F41" s="30" t="s">
        <v>28</v>
      </c>
      <c r="G41" s="14" t="s">
        <v>348</v>
      </c>
      <c r="H41" s="45" t="s">
        <v>144</v>
      </c>
      <c r="I41" s="58"/>
      <c r="J41" s="48"/>
      <c r="K41" s="30"/>
      <c r="L41" s="30"/>
      <c r="M41" s="42"/>
      <c r="N41" s="42"/>
      <c r="O41" s="30"/>
      <c r="P41" s="17"/>
    </row>
    <row r="42" spans="1:49" hidden="1" x14ac:dyDescent="0.3">
      <c r="A42" s="45" t="s">
        <v>357</v>
      </c>
      <c r="B42" s="76" t="s">
        <v>358</v>
      </c>
      <c r="C42" s="45" t="s">
        <v>216</v>
      </c>
      <c r="D42" s="45" t="s">
        <v>51</v>
      </c>
      <c r="E42" s="45">
        <v>28</v>
      </c>
      <c r="F42" s="45" t="s">
        <v>28</v>
      </c>
      <c r="G42" s="14" t="s">
        <v>348</v>
      </c>
      <c r="H42" s="30" t="s">
        <v>144</v>
      </c>
      <c r="I42" s="58"/>
      <c r="J42" s="48"/>
      <c r="K42" s="30"/>
      <c r="L42" s="30"/>
      <c r="M42" s="42"/>
      <c r="N42" s="42"/>
      <c r="O42" s="30"/>
      <c r="P42" s="17"/>
    </row>
    <row r="43" spans="1:49" hidden="1" x14ac:dyDescent="0.3">
      <c r="A43" s="30" t="s">
        <v>359</v>
      </c>
      <c r="B43" s="73" t="s">
        <v>360</v>
      </c>
      <c r="C43" s="30" t="s">
        <v>216</v>
      </c>
      <c r="D43" s="30" t="s">
        <v>51</v>
      </c>
      <c r="E43" s="30">
        <v>29</v>
      </c>
      <c r="F43" s="30" t="s">
        <v>28</v>
      </c>
      <c r="G43" s="14" t="s">
        <v>175</v>
      </c>
      <c r="H43" s="30" t="s">
        <v>144</v>
      </c>
      <c r="I43" s="58"/>
      <c r="J43" s="48"/>
      <c r="K43" s="30"/>
      <c r="L43" s="30"/>
      <c r="M43" s="42"/>
      <c r="N43" s="42"/>
      <c r="O43" s="30"/>
      <c r="P43" s="17"/>
    </row>
    <row r="44" spans="1:49" hidden="1" x14ac:dyDescent="0.3">
      <c r="A44" s="30" t="s">
        <v>361</v>
      </c>
      <c r="B44" s="58" t="s">
        <v>362</v>
      </c>
      <c r="C44" s="45" t="s">
        <v>216</v>
      </c>
      <c r="D44" s="30" t="s">
        <v>51</v>
      </c>
      <c r="E44" s="30">
        <v>30</v>
      </c>
      <c r="F44" s="30" t="s">
        <v>28</v>
      </c>
      <c r="G44" s="14" t="s">
        <v>311</v>
      </c>
      <c r="H44" s="30" t="s">
        <v>144</v>
      </c>
      <c r="I44" s="58"/>
      <c r="J44" s="48"/>
      <c r="K44" s="30"/>
      <c r="L44" s="30"/>
      <c r="M44" s="42"/>
      <c r="N44" s="42"/>
      <c r="O44" s="30"/>
      <c r="P44" s="17"/>
    </row>
    <row r="45" spans="1:49" hidden="1" x14ac:dyDescent="0.3">
      <c r="A45" s="30" t="s">
        <v>363</v>
      </c>
      <c r="B45" s="58" t="s">
        <v>364</v>
      </c>
      <c r="C45" s="45" t="s">
        <v>216</v>
      </c>
      <c r="D45" s="30" t="s">
        <v>51</v>
      </c>
      <c r="E45" s="30">
        <v>31</v>
      </c>
      <c r="F45" s="30" t="s">
        <v>28</v>
      </c>
      <c r="G45" s="14" t="s">
        <v>365</v>
      </c>
      <c r="H45" s="30" t="s">
        <v>144</v>
      </c>
      <c r="I45" s="58"/>
      <c r="J45" s="48"/>
      <c r="K45" s="30"/>
      <c r="L45" s="30"/>
      <c r="M45" s="42"/>
      <c r="N45" s="42"/>
      <c r="O45" s="30"/>
      <c r="P45" s="17"/>
    </row>
    <row r="46" spans="1:49" hidden="1" x14ac:dyDescent="0.3">
      <c r="A46" s="30" t="s">
        <v>366</v>
      </c>
      <c r="B46" s="58" t="s">
        <v>367</v>
      </c>
      <c r="C46" s="45" t="s">
        <v>216</v>
      </c>
      <c r="D46" s="30" t="s">
        <v>51</v>
      </c>
      <c r="E46" s="30">
        <v>31</v>
      </c>
      <c r="F46" s="30" t="s">
        <v>28</v>
      </c>
      <c r="G46" s="14" t="s">
        <v>365</v>
      </c>
      <c r="H46" s="30" t="s">
        <v>144</v>
      </c>
      <c r="I46" s="58"/>
      <c r="J46" s="48"/>
      <c r="K46" s="30"/>
      <c r="L46" s="30"/>
      <c r="M46" s="42"/>
      <c r="N46" s="42"/>
      <c r="O46" s="30"/>
      <c r="P46" s="17"/>
    </row>
    <row r="47" spans="1:49" hidden="1" x14ac:dyDescent="0.3">
      <c r="A47" s="30" t="s">
        <v>368</v>
      </c>
      <c r="B47" s="58" t="s">
        <v>369</v>
      </c>
      <c r="C47" s="45" t="s">
        <v>216</v>
      </c>
      <c r="D47" s="30" t="s">
        <v>51</v>
      </c>
      <c r="E47" s="30">
        <v>31</v>
      </c>
      <c r="F47" s="30" t="s">
        <v>28</v>
      </c>
      <c r="G47" s="14" t="s">
        <v>365</v>
      </c>
      <c r="H47" s="30" t="s">
        <v>144</v>
      </c>
      <c r="I47" s="58"/>
      <c r="J47" s="48"/>
      <c r="K47" s="30"/>
      <c r="L47" s="30"/>
      <c r="M47" s="42"/>
      <c r="N47" s="42"/>
      <c r="O47" s="30"/>
      <c r="P47" s="17"/>
    </row>
    <row r="48" spans="1:49" hidden="1" x14ac:dyDescent="0.3">
      <c r="A48" s="30" t="s">
        <v>370</v>
      </c>
      <c r="B48" s="73" t="s">
        <v>371</v>
      </c>
      <c r="C48" s="48" t="s">
        <v>216</v>
      </c>
      <c r="D48" s="30" t="s">
        <v>51</v>
      </c>
      <c r="E48" s="30">
        <v>32</v>
      </c>
      <c r="F48" s="30" t="s">
        <v>28</v>
      </c>
      <c r="G48" s="14" t="s">
        <v>179</v>
      </c>
      <c r="H48" s="45" t="s">
        <v>144</v>
      </c>
      <c r="I48" s="58"/>
      <c r="J48" s="48"/>
      <c r="K48" s="30"/>
      <c r="L48" s="30"/>
      <c r="M48" s="42"/>
      <c r="N48" s="42"/>
      <c r="O48" s="30"/>
      <c r="P48" s="17"/>
    </row>
    <row r="49" spans="1:16" hidden="1" x14ac:dyDescent="0.3">
      <c r="A49" s="45" t="s">
        <v>372</v>
      </c>
      <c r="B49" s="76" t="s">
        <v>373</v>
      </c>
      <c r="C49" s="45" t="s">
        <v>216</v>
      </c>
      <c r="D49" s="45" t="s">
        <v>51</v>
      </c>
      <c r="E49" s="45">
        <v>33</v>
      </c>
      <c r="F49" s="45" t="s">
        <v>28</v>
      </c>
      <c r="G49" s="14" t="s">
        <v>182</v>
      </c>
      <c r="H49" s="60" t="s">
        <v>144</v>
      </c>
      <c r="I49" s="67"/>
      <c r="J49" s="48"/>
      <c r="K49" s="30"/>
      <c r="L49" s="60"/>
      <c r="M49" s="42"/>
      <c r="N49" s="42"/>
      <c r="O49" s="30"/>
      <c r="P49" s="17"/>
    </row>
    <row r="50" spans="1:16" hidden="1" x14ac:dyDescent="0.3">
      <c r="A50" s="30" t="s">
        <v>374</v>
      </c>
      <c r="B50" s="58" t="s">
        <v>375</v>
      </c>
      <c r="C50" s="48" t="s">
        <v>216</v>
      </c>
      <c r="D50" s="30" t="s">
        <v>51</v>
      </c>
      <c r="E50" s="30">
        <v>34</v>
      </c>
      <c r="F50" s="30" t="s">
        <v>28</v>
      </c>
      <c r="G50" s="17" t="s">
        <v>314</v>
      </c>
      <c r="H50" s="60" t="s">
        <v>144</v>
      </c>
      <c r="I50" s="58"/>
      <c r="J50" s="48"/>
      <c r="K50" s="30"/>
      <c r="L50" s="30"/>
      <c r="M50" s="42"/>
      <c r="N50" s="42"/>
      <c r="O50" s="30"/>
      <c r="P50" s="17"/>
    </row>
    <row r="51" spans="1:16" hidden="1" x14ac:dyDescent="0.3">
      <c r="A51" s="30" t="s">
        <v>376</v>
      </c>
      <c r="B51" s="58" t="s">
        <v>377</v>
      </c>
      <c r="C51" s="30" t="s">
        <v>216</v>
      </c>
      <c r="D51" s="30" t="s">
        <v>51</v>
      </c>
      <c r="E51" s="30">
        <v>35</v>
      </c>
      <c r="F51" s="30" t="s">
        <v>28</v>
      </c>
      <c r="G51" s="17" t="s">
        <v>175</v>
      </c>
      <c r="H51" s="30" t="s">
        <v>144</v>
      </c>
      <c r="I51" s="64"/>
      <c r="J51" s="48"/>
      <c r="K51" s="30"/>
      <c r="L51" s="60"/>
      <c r="M51" s="42"/>
      <c r="N51" s="42"/>
      <c r="O51" s="30"/>
      <c r="P51" s="17"/>
    </row>
    <row r="52" spans="1:16" hidden="1" x14ac:dyDescent="0.3">
      <c r="A52" s="30" t="s">
        <v>378</v>
      </c>
      <c r="B52" s="58" t="s">
        <v>379</v>
      </c>
      <c r="C52" s="30" t="s">
        <v>216</v>
      </c>
      <c r="D52" s="30" t="s">
        <v>51</v>
      </c>
      <c r="E52" s="30">
        <v>36</v>
      </c>
      <c r="F52" s="30" t="s">
        <v>28</v>
      </c>
      <c r="G52" s="17" t="s">
        <v>175</v>
      </c>
      <c r="H52" s="30" t="s">
        <v>144</v>
      </c>
      <c r="I52" s="58"/>
      <c r="J52" s="48"/>
      <c r="K52" s="30"/>
      <c r="L52" s="30"/>
      <c r="M52" s="42"/>
      <c r="N52" s="42"/>
      <c r="O52" s="30"/>
      <c r="P52" s="17"/>
    </row>
    <row r="53" spans="1:16" hidden="1" x14ac:dyDescent="0.3">
      <c r="A53" s="30" t="s">
        <v>380</v>
      </c>
      <c r="B53" s="58" t="s">
        <v>381</v>
      </c>
      <c r="C53" s="45" t="s">
        <v>216</v>
      </c>
      <c r="D53" s="30" t="s">
        <v>51</v>
      </c>
      <c r="E53" s="30">
        <v>37</v>
      </c>
      <c r="F53" s="30" t="s">
        <v>28</v>
      </c>
      <c r="G53" s="14" t="s">
        <v>175</v>
      </c>
      <c r="H53" s="30" t="s">
        <v>144</v>
      </c>
      <c r="I53" s="58"/>
      <c r="J53" s="48"/>
      <c r="K53" s="30"/>
      <c r="L53" s="30"/>
      <c r="M53" s="42"/>
      <c r="N53" s="42"/>
      <c r="O53" s="30"/>
      <c r="P53" s="17"/>
    </row>
    <row r="54" spans="1:16" hidden="1" x14ac:dyDescent="0.3">
      <c r="A54" s="45" t="s">
        <v>382</v>
      </c>
      <c r="B54" s="46" t="s">
        <v>383</v>
      </c>
      <c r="C54" s="45" t="s">
        <v>216</v>
      </c>
      <c r="D54" s="45" t="s">
        <v>51</v>
      </c>
      <c r="E54" s="30">
        <v>38</v>
      </c>
      <c r="F54" s="45" t="s">
        <v>28</v>
      </c>
      <c r="G54" s="17" t="s">
        <v>175</v>
      </c>
      <c r="H54" s="45" t="s">
        <v>144</v>
      </c>
      <c r="I54" s="64"/>
      <c r="J54" s="48"/>
      <c r="K54" s="30"/>
      <c r="L54" s="60"/>
      <c r="M54" s="42"/>
      <c r="N54" s="42"/>
      <c r="O54" s="30"/>
      <c r="P54" s="17"/>
    </row>
    <row r="55" spans="1:16" hidden="1" x14ac:dyDescent="0.3">
      <c r="A55" s="45" t="s">
        <v>384</v>
      </c>
      <c r="B55" s="46" t="s">
        <v>385</v>
      </c>
      <c r="C55" s="45" t="s">
        <v>216</v>
      </c>
      <c r="D55" s="45" t="s">
        <v>51</v>
      </c>
      <c r="E55" s="45">
        <v>39</v>
      </c>
      <c r="F55" s="45" t="s">
        <v>28</v>
      </c>
      <c r="G55" s="17" t="s">
        <v>175</v>
      </c>
      <c r="H55" s="45" t="s">
        <v>144</v>
      </c>
      <c r="I55" s="58"/>
      <c r="J55" s="48"/>
      <c r="K55" s="30"/>
      <c r="L55" s="30"/>
      <c r="M55" s="42"/>
      <c r="N55" s="42"/>
      <c r="O55" s="30"/>
      <c r="P55" s="17"/>
    </row>
    <row r="56" spans="1:16" hidden="1" x14ac:dyDescent="0.3">
      <c r="A56" s="61" t="s">
        <v>386</v>
      </c>
      <c r="B56" s="79" t="s">
        <v>387</v>
      </c>
      <c r="C56" s="45" t="s">
        <v>216</v>
      </c>
      <c r="D56" s="14" t="s">
        <v>51</v>
      </c>
      <c r="E56" s="45">
        <v>40</v>
      </c>
      <c r="F56" s="45" t="s">
        <v>28</v>
      </c>
      <c r="G56" s="17" t="s">
        <v>308</v>
      </c>
      <c r="H56" s="45" t="s">
        <v>144</v>
      </c>
      <c r="J56" s="60"/>
      <c r="K56" s="67"/>
      <c r="L56" s="48"/>
      <c r="M56" s="42"/>
      <c r="N56" s="42"/>
      <c r="O56" s="30"/>
      <c r="P56" s="17"/>
    </row>
    <row r="57" spans="1:16" hidden="1" x14ac:dyDescent="0.3">
      <c r="A57" s="45" t="s">
        <v>388</v>
      </c>
      <c r="B57" s="46" t="s">
        <v>389</v>
      </c>
      <c r="C57" s="45" t="s">
        <v>216</v>
      </c>
      <c r="D57" s="45" t="s">
        <v>51</v>
      </c>
      <c r="E57" s="45">
        <v>41</v>
      </c>
      <c r="F57" s="45" t="s">
        <v>28</v>
      </c>
      <c r="G57" s="17" t="s">
        <v>280</v>
      </c>
      <c r="H57" s="30" t="s">
        <v>144</v>
      </c>
      <c r="J57" s="30"/>
      <c r="K57" s="58"/>
      <c r="L57" s="48"/>
      <c r="M57" s="42"/>
      <c r="N57" s="42"/>
      <c r="O57" s="30"/>
      <c r="P57" s="17"/>
    </row>
    <row r="58" spans="1:16" hidden="1" x14ac:dyDescent="0.3">
      <c r="A58" s="30" t="s">
        <v>390</v>
      </c>
      <c r="B58" s="58" t="s">
        <v>391</v>
      </c>
      <c r="C58" s="47" t="s">
        <v>194</v>
      </c>
      <c r="D58" s="30" t="s">
        <v>51</v>
      </c>
      <c r="E58" s="45">
        <v>42</v>
      </c>
      <c r="F58" s="30" t="s">
        <v>28</v>
      </c>
      <c r="G58" s="14" t="s">
        <v>176</v>
      </c>
      <c r="H58" s="30" t="s">
        <v>144</v>
      </c>
      <c r="J58" s="60"/>
      <c r="K58" s="64"/>
      <c r="L58" s="48"/>
      <c r="M58" s="42"/>
      <c r="N58" s="42"/>
      <c r="O58" s="30"/>
      <c r="P58" s="17"/>
    </row>
    <row r="59" spans="1:16" hidden="1" x14ac:dyDescent="0.3">
      <c r="A59" s="49" t="s">
        <v>392</v>
      </c>
      <c r="B59" s="78" t="s">
        <v>393</v>
      </c>
      <c r="C59" s="47" t="s">
        <v>194</v>
      </c>
      <c r="D59" s="30" t="s">
        <v>51</v>
      </c>
      <c r="E59" s="30">
        <v>43</v>
      </c>
      <c r="F59" s="30" t="s">
        <v>28</v>
      </c>
      <c r="G59" s="14" t="s">
        <v>338</v>
      </c>
      <c r="H59" s="30" t="s">
        <v>144</v>
      </c>
      <c r="J59" s="30"/>
      <c r="K59" s="58"/>
      <c r="L59" s="48"/>
      <c r="M59" s="42"/>
      <c r="N59" s="42"/>
      <c r="O59" s="30"/>
      <c r="P59" s="17"/>
    </row>
    <row r="60" spans="1:16" hidden="1" x14ac:dyDescent="0.3">
      <c r="A60" s="30" t="s">
        <v>394</v>
      </c>
      <c r="B60" s="58" t="s">
        <v>395</v>
      </c>
      <c r="C60" s="48" t="s">
        <v>194</v>
      </c>
      <c r="D60" s="30" t="s">
        <v>51</v>
      </c>
      <c r="E60" s="30">
        <v>43</v>
      </c>
      <c r="F60" s="30" t="s">
        <v>28</v>
      </c>
      <c r="G60" s="17" t="s">
        <v>338</v>
      </c>
      <c r="H60" s="30" t="s">
        <v>144</v>
      </c>
      <c r="M60" s="42"/>
      <c r="N60" s="42"/>
      <c r="O60" s="42"/>
    </row>
    <row r="61" spans="1:16" hidden="1" x14ac:dyDescent="0.3">
      <c r="A61" s="30" t="s">
        <v>396</v>
      </c>
      <c r="B61" s="58" t="s">
        <v>397</v>
      </c>
      <c r="C61" s="30" t="s">
        <v>194</v>
      </c>
      <c r="D61" s="30" t="s">
        <v>51</v>
      </c>
      <c r="E61" s="30">
        <v>43</v>
      </c>
      <c r="F61" s="30" t="s">
        <v>28</v>
      </c>
      <c r="G61" s="17" t="s">
        <v>338</v>
      </c>
      <c r="H61" s="30" t="s">
        <v>144</v>
      </c>
      <c r="M61" s="42"/>
      <c r="N61" s="42"/>
      <c r="O61" s="42"/>
    </row>
    <row r="62" spans="1:16" hidden="1" x14ac:dyDescent="0.3">
      <c r="A62" s="60" t="s">
        <v>398</v>
      </c>
      <c r="B62" s="64" t="s">
        <v>399</v>
      </c>
      <c r="C62" s="48" t="s">
        <v>194</v>
      </c>
      <c r="D62" s="30" t="s">
        <v>51</v>
      </c>
      <c r="E62" s="60">
        <v>44</v>
      </c>
      <c r="F62" s="30" t="s">
        <v>28</v>
      </c>
      <c r="G62" s="17" t="s">
        <v>400</v>
      </c>
      <c r="H62" s="30" t="s">
        <v>144</v>
      </c>
      <c r="M62" s="42"/>
      <c r="N62" s="42"/>
      <c r="O62" s="42"/>
    </row>
    <row r="63" spans="1:16" hidden="1" x14ac:dyDescent="0.3">
      <c r="A63" s="30" t="s">
        <v>401</v>
      </c>
      <c r="B63" s="58" t="s">
        <v>402</v>
      </c>
      <c r="C63" s="48" t="s">
        <v>194</v>
      </c>
      <c r="D63" s="30" t="s">
        <v>51</v>
      </c>
      <c r="E63" s="30">
        <v>45</v>
      </c>
      <c r="F63" s="30" t="s">
        <v>28</v>
      </c>
      <c r="G63" s="17" t="s">
        <v>179</v>
      </c>
      <c r="H63" s="30" t="s">
        <v>144</v>
      </c>
      <c r="M63" s="42"/>
      <c r="N63" s="42"/>
      <c r="O63" s="42"/>
    </row>
    <row r="64" spans="1:16" hidden="1" x14ac:dyDescent="0.3">
      <c r="A64" s="60" t="s">
        <v>403</v>
      </c>
      <c r="B64" s="58" t="s">
        <v>404</v>
      </c>
      <c r="C64" s="48" t="s">
        <v>194</v>
      </c>
      <c r="D64" s="30" t="s">
        <v>51</v>
      </c>
      <c r="E64" s="30">
        <v>45</v>
      </c>
      <c r="F64" s="30" t="s">
        <v>28</v>
      </c>
      <c r="G64" s="17" t="s">
        <v>179</v>
      </c>
      <c r="H64" s="30" t="s">
        <v>144</v>
      </c>
      <c r="M64" s="42"/>
      <c r="N64" s="42"/>
      <c r="O64" s="42"/>
    </row>
    <row r="65" spans="1:15" hidden="1" x14ac:dyDescent="0.3">
      <c r="A65" s="30" t="s">
        <v>405</v>
      </c>
      <c r="B65" s="58" t="s">
        <v>406</v>
      </c>
      <c r="C65" s="48" t="s">
        <v>194</v>
      </c>
      <c r="D65" s="30" t="s">
        <v>51</v>
      </c>
      <c r="E65" s="30">
        <v>46</v>
      </c>
      <c r="F65" s="30" t="s">
        <v>28</v>
      </c>
      <c r="G65" s="17" t="s">
        <v>177</v>
      </c>
      <c r="H65" s="30" t="s">
        <v>144</v>
      </c>
      <c r="M65" s="42"/>
      <c r="N65" s="42"/>
      <c r="O65" s="42"/>
    </row>
    <row r="66" spans="1:15" hidden="1" x14ac:dyDescent="0.3">
      <c r="A66" s="30" t="s">
        <v>407</v>
      </c>
      <c r="B66" s="58" t="s">
        <v>408</v>
      </c>
      <c r="C66" s="48" t="s">
        <v>194</v>
      </c>
      <c r="D66" s="30" t="s">
        <v>51</v>
      </c>
      <c r="E66" s="30">
        <v>46</v>
      </c>
      <c r="F66" s="30" t="s">
        <v>28</v>
      </c>
      <c r="G66" s="17" t="s">
        <v>177</v>
      </c>
      <c r="H66" s="30" t="s">
        <v>144</v>
      </c>
      <c r="M66" s="42"/>
      <c r="N66" s="42"/>
      <c r="O66" s="42"/>
    </row>
    <row r="67" spans="1:15" hidden="1" x14ac:dyDescent="0.3">
      <c r="A67" s="60" t="s">
        <v>409</v>
      </c>
      <c r="B67" s="67" t="s">
        <v>410</v>
      </c>
      <c r="C67" s="48" t="s">
        <v>194</v>
      </c>
      <c r="D67" s="30" t="s">
        <v>51</v>
      </c>
      <c r="E67" s="60">
        <v>47</v>
      </c>
      <c r="F67" s="30" t="s">
        <v>28</v>
      </c>
      <c r="G67" s="17" t="s">
        <v>181</v>
      </c>
      <c r="H67" s="30" t="s">
        <v>144</v>
      </c>
      <c r="M67" s="42"/>
      <c r="N67" s="42"/>
      <c r="O67" s="42"/>
    </row>
    <row r="68" spans="1:15" hidden="1" x14ac:dyDescent="0.3">
      <c r="A68" s="30" t="s">
        <v>411</v>
      </c>
      <c r="B68" s="58" t="s">
        <v>412</v>
      </c>
      <c r="C68" s="48" t="s">
        <v>194</v>
      </c>
      <c r="D68" s="30" t="s">
        <v>51</v>
      </c>
      <c r="E68" s="30">
        <v>48</v>
      </c>
      <c r="F68" s="30" t="s">
        <v>28</v>
      </c>
      <c r="G68" s="17" t="s">
        <v>182</v>
      </c>
      <c r="H68" s="30" t="s">
        <v>144</v>
      </c>
      <c r="M68" s="42"/>
      <c r="N68" s="42"/>
      <c r="O68" s="42"/>
    </row>
    <row r="69" spans="1:15" hidden="1" x14ac:dyDescent="0.3">
      <c r="A69" s="60" t="s">
        <v>413</v>
      </c>
      <c r="B69" s="64" t="s">
        <v>414</v>
      </c>
      <c r="C69" s="48" t="s">
        <v>194</v>
      </c>
      <c r="D69" s="30" t="s">
        <v>51</v>
      </c>
      <c r="E69" s="60">
        <v>48</v>
      </c>
      <c r="F69" s="30" t="s">
        <v>28</v>
      </c>
      <c r="G69" s="17" t="s">
        <v>182</v>
      </c>
      <c r="H69" s="45" t="s">
        <v>144</v>
      </c>
      <c r="M69" s="42"/>
      <c r="N69" s="42"/>
      <c r="O69" s="42"/>
    </row>
    <row r="70" spans="1:15" hidden="1" x14ac:dyDescent="0.3">
      <c r="A70" s="45" t="s">
        <v>415</v>
      </c>
      <c r="B70" s="46" t="s">
        <v>416</v>
      </c>
      <c r="C70" s="45" t="s">
        <v>194</v>
      </c>
      <c r="D70" s="45" t="s">
        <v>51</v>
      </c>
      <c r="E70" s="45">
        <v>49</v>
      </c>
      <c r="F70" s="45" t="s">
        <v>28</v>
      </c>
      <c r="G70" s="45" t="s">
        <v>182</v>
      </c>
      <c r="H70" s="45" t="s">
        <v>144</v>
      </c>
      <c r="M70" s="42"/>
      <c r="N70" s="42"/>
      <c r="O70" s="42"/>
    </row>
    <row r="71" spans="1:15" hidden="1" x14ac:dyDescent="0.3">
      <c r="A71" s="45" t="s">
        <v>417</v>
      </c>
      <c r="B71" s="46" t="s">
        <v>418</v>
      </c>
      <c r="C71" s="45" t="s">
        <v>194</v>
      </c>
      <c r="D71" s="45" t="s">
        <v>51</v>
      </c>
      <c r="E71" s="45">
        <v>50</v>
      </c>
      <c r="F71" s="45" t="s">
        <v>28</v>
      </c>
      <c r="G71" s="45" t="s">
        <v>419</v>
      </c>
      <c r="H71" s="45" t="s">
        <v>144</v>
      </c>
      <c r="M71" s="42"/>
      <c r="N71" s="42"/>
      <c r="O71" s="42"/>
    </row>
    <row r="72" spans="1:15" hidden="1" x14ac:dyDescent="0.3">
      <c r="A72" s="45" t="s">
        <v>420</v>
      </c>
      <c r="B72" s="46" t="s">
        <v>421</v>
      </c>
      <c r="C72" s="45" t="s">
        <v>194</v>
      </c>
      <c r="D72" s="45" t="s">
        <v>51</v>
      </c>
      <c r="E72" s="45">
        <v>50</v>
      </c>
      <c r="F72" s="45" t="s">
        <v>28</v>
      </c>
      <c r="G72" s="45" t="s">
        <v>419</v>
      </c>
      <c r="H72" s="45" t="s">
        <v>144</v>
      </c>
      <c r="M72" s="42"/>
      <c r="N72" s="42"/>
      <c r="O72" s="42"/>
    </row>
    <row r="73" spans="1:15" hidden="1" x14ac:dyDescent="0.3">
      <c r="A73" s="45" t="s">
        <v>422</v>
      </c>
      <c r="B73" s="46" t="s">
        <v>423</v>
      </c>
      <c r="C73" s="45" t="s">
        <v>194</v>
      </c>
      <c r="D73" s="45" t="s">
        <v>51</v>
      </c>
      <c r="E73" s="45">
        <v>51</v>
      </c>
      <c r="F73" s="45" t="s">
        <v>28</v>
      </c>
      <c r="G73" s="45" t="s">
        <v>177</v>
      </c>
      <c r="H73" s="45" t="s">
        <v>144</v>
      </c>
      <c r="M73" s="42"/>
      <c r="N73" s="42"/>
      <c r="O73" s="42"/>
    </row>
    <row r="74" spans="1:15" hidden="1" x14ac:dyDescent="0.3">
      <c r="A74" s="45" t="s">
        <v>424</v>
      </c>
      <c r="B74" s="46" t="s">
        <v>425</v>
      </c>
      <c r="C74" s="45" t="s">
        <v>194</v>
      </c>
      <c r="D74" s="45" t="s">
        <v>51</v>
      </c>
      <c r="E74" s="45">
        <v>52</v>
      </c>
      <c r="F74" s="45" t="s">
        <v>28</v>
      </c>
      <c r="G74" s="45" t="s">
        <v>177</v>
      </c>
      <c r="H74" s="45" t="s">
        <v>144</v>
      </c>
      <c r="M74" s="42"/>
      <c r="N74" s="42"/>
      <c r="O74" s="42"/>
    </row>
    <row r="75" spans="1:15" hidden="1" x14ac:dyDescent="0.3">
      <c r="A75" s="45" t="s">
        <v>426</v>
      </c>
      <c r="B75" s="46" t="s">
        <v>427</v>
      </c>
      <c r="C75" s="45" t="s">
        <v>194</v>
      </c>
      <c r="D75" s="45" t="s">
        <v>51</v>
      </c>
      <c r="E75" s="45">
        <v>53</v>
      </c>
      <c r="F75" s="45" t="s">
        <v>28</v>
      </c>
      <c r="G75" s="45" t="s">
        <v>280</v>
      </c>
      <c r="H75" s="45" t="s">
        <v>144</v>
      </c>
      <c r="M75" s="42"/>
      <c r="N75" s="42"/>
      <c r="O75" s="42"/>
    </row>
    <row r="76" spans="1:15" hidden="1" x14ac:dyDescent="0.3">
      <c r="A76" s="45" t="s">
        <v>428</v>
      </c>
      <c r="B76" s="46" t="s">
        <v>429</v>
      </c>
      <c r="C76" s="45" t="s">
        <v>194</v>
      </c>
      <c r="D76" s="45" t="s">
        <v>51</v>
      </c>
      <c r="E76" s="45">
        <v>54</v>
      </c>
      <c r="F76" s="45" t="s">
        <v>28</v>
      </c>
      <c r="G76" s="45" t="s">
        <v>175</v>
      </c>
      <c r="H76" s="45" t="s">
        <v>144</v>
      </c>
      <c r="M76" s="42"/>
      <c r="N76" s="42"/>
      <c r="O76" s="42"/>
    </row>
    <row r="77" spans="1:15" hidden="1" x14ac:dyDescent="0.3">
      <c r="A77" s="45" t="s">
        <v>430</v>
      </c>
      <c r="B77" s="46" t="s">
        <v>431</v>
      </c>
      <c r="C77" s="45" t="s">
        <v>194</v>
      </c>
      <c r="D77" s="45" t="s">
        <v>51</v>
      </c>
      <c r="E77" s="45">
        <v>54</v>
      </c>
      <c r="F77" s="45" t="s">
        <v>28</v>
      </c>
      <c r="G77" s="45" t="s">
        <v>175</v>
      </c>
      <c r="H77" s="45" t="s">
        <v>144</v>
      </c>
      <c r="M77" s="42"/>
      <c r="N77" s="42"/>
      <c r="O77" s="42"/>
    </row>
    <row r="78" spans="1:15" hidden="1" x14ac:dyDescent="0.3">
      <c r="A78" s="45" t="s">
        <v>432</v>
      </c>
      <c r="B78" s="46" t="s">
        <v>433</v>
      </c>
      <c r="C78" s="45" t="s">
        <v>194</v>
      </c>
      <c r="D78" s="45" t="s">
        <v>51</v>
      </c>
      <c r="E78" s="45">
        <v>54</v>
      </c>
      <c r="F78" s="45" t="s">
        <v>28</v>
      </c>
      <c r="G78" s="45" t="s">
        <v>175</v>
      </c>
      <c r="H78" s="45" t="s">
        <v>144</v>
      </c>
      <c r="M78" s="42"/>
      <c r="N78" s="42"/>
      <c r="O78" s="42"/>
    </row>
    <row r="79" spans="1:15" hidden="1" x14ac:dyDescent="0.3">
      <c r="A79" s="45" t="s">
        <v>434</v>
      </c>
      <c r="B79" s="46" t="s">
        <v>435</v>
      </c>
      <c r="C79" s="45" t="s">
        <v>194</v>
      </c>
      <c r="D79" s="45" t="s">
        <v>51</v>
      </c>
      <c r="E79" s="45">
        <v>55</v>
      </c>
      <c r="F79" s="45" t="s">
        <v>28</v>
      </c>
      <c r="G79" s="45" t="s">
        <v>183</v>
      </c>
      <c r="H79" s="45" t="s">
        <v>144</v>
      </c>
      <c r="M79" s="42"/>
      <c r="N79" s="42"/>
      <c r="O79" s="42"/>
    </row>
    <row r="80" spans="1:15" hidden="1" x14ac:dyDescent="0.3">
      <c r="A80" s="45" t="s">
        <v>436</v>
      </c>
      <c r="B80" s="46" t="s">
        <v>437</v>
      </c>
      <c r="C80" s="45" t="s">
        <v>194</v>
      </c>
      <c r="D80" s="45" t="s">
        <v>51</v>
      </c>
      <c r="E80" s="45">
        <v>55</v>
      </c>
      <c r="F80" s="45" t="s">
        <v>28</v>
      </c>
      <c r="G80" s="45" t="s">
        <v>183</v>
      </c>
      <c r="H80" s="45" t="s">
        <v>144</v>
      </c>
      <c r="M80" s="42"/>
      <c r="N80" s="42"/>
      <c r="O80" s="42"/>
    </row>
    <row r="81" spans="1:15" hidden="1" x14ac:dyDescent="0.3">
      <c r="A81" s="45" t="s">
        <v>438</v>
      </c>
      <c r="B81" s="46" t="s">
        <v>439</v>
      </c>
      <c r="C81" s="45" t="s">
        <v>194</v>
      </c>
      <c r="D81" s="45" t="s">
        <v>51</v>
      </c>
      <c r="E81" s="45">
        <v>55</v>
      </c>
      <c r="F81" s="45" t="s">
        <v>28</v>
      </c>
      <c r="G81" s="45" t="s">
        <v>183</v>
      </c>
      <c r="H81" s="45" t="s">
        <v>144</v>
      </c>
      <c r="M81" s="42"/>
      <c r="N81" s="42"/>
      <c r="O81" s="42"/>
    </row>
    <row r="82" spans="1:15" hidden="1" x14ac:dyDescent="0.3">
      <c r="A82" s="45" t="s">
        <v>440</v>
      </c>
      <c r="B82" s="46" t="s">
        <v>441</v>
      </c>
      <c r="C82" s="45" t="s">
        <v>194</v>
      </c>
      <c r="D82" s="45" t="s">
        <v>51</v>
      </c>
      <c r="E82" s="45">
        <v>56</v>
      </c>
      <c r="F82" s="45" t="s">
        <v>28</v>
      </c>
      <c r="G82" s="45" t="s">
        <v>280</v>
      </c>
      <c r="H82" s="45" t="s">
        <v>144</v>
      </c>
      <c r="M82" s="42"/>
      <c r="N82" s="42"/>
      <c r="O82" s="42"/>
    </row>
    <row r="83" spans="1:15" hidden="1" x14ac:dyDescent="0.3">
      <c r="A83" s="45" t="s">
        <v>442</v>
      </c>
      <c r="B83" s="46" t="s">
        <v>443</v>
      </c>
      <c r="C83" s="45" t="s">
        <v>194</v>
      </c>
      <c r="D83" s="45" t="s">
        <v>51</v>
      </c>
      <c r="E83" s="45">
        <v>57</v>
      </c>
      <c r="F83" s="45" t="s">
        <v>28</v>
      </c>
      <c r="G83" s="45" t="s">
        <v>177</v>
      </c>
      <c r="H83" s="45" t="s">
        <v>144</v>
      </c>
      <c r="M83" s="42"/>
      <c r="N83" s="42"/>
      <c r="O83" s="42"/>
    </row>
    <row r="84" spans="1:15" hidden="1" x14ac:dyDescent="0.3">
      <c r="A84" s="45" t="s">
        <v>444</v>
      </c>
      <c r="B84" s="46" t="s">
        <v>445</v>
      </c>
      <c r="C84" s="45" t="s">
        <v>194</v>
      </c>
      <c r="D84" s="45" t="s">
        <v>51</v>
      </c>
      <c r="E84" s="45">
        <v>58</v>
      </c>
      <c r="F84" s="45" t="s">
        <v>28</v>
      </c>
      <c r="G84" s="45" t="s">
        <v>179</v>
      </c>
      <c r="H84" s="45" t="s">
        <v>144</v>
      </c>
      <c r="M84" s="42"/>
      <c r="N84" s="42"/>
      <c r="O84" s="42"/>
    </row>
    <row r="85" spans="1:15" hidden="1" x14ac:dyDescent="0.3">
      <c r="A85" s="45" t="s">
        <v>446</v>
      </c>
      <c r="B85" s="46" t="s">
        <v>447</v>
      </c>
      <c r="C85" s="45" t="s">
        <v>194</v>
      </c>
      <c r="D85" s="45" t="s">
        <v>51</v>
      </c>
      <c r="E85" s="45">
        <v>58</v>
      </c>
      <c r="F85" s="45" t="s">
        <v>28</v>
      </c>
      <c r="G85" s="45" t="s">
        <v>179</v>
      </c>
      <c r="H85" s="45" t="s">
        <v>144</v>
      </c>
      <c r="M85" s="42"/>
      <c r="N85" s="42"/>
      <c r="O85" s="42"/>
    </row>
    <row r="86" spans="1:15" hidden="1" x14ac:dyDescent="0.3">
      <c r="A86" s="45" t="s">
        <v>448</v>
      </c>
      <c r="B86" s="46" t="s">
        <v>449</v>
      </c>
      <c r="C86" s="45" t="s">
        <v>194</v>
      </c>
      <c r="D86" s="45" t="s">
        <v>51</v>
      </c>
      <c r="E86" s="45">
        <v>59</v>
      </c>
      <c r="F86" s="45" t="s">
        <v>28</v>
      </c>
      <c r="G86" s="45" t="s">
        <v>183</v>
      </c>
      <c r="H86" s="45" t="s">
        <v>144</v>
      </c>
      <c r="M86" s="42"/>
      <c r="N86" s="42"/>
      <c r="O86" s="42"/>
    </row>
    <row r="87" spans="1:15" hidden="1" x14ac:dyDescent="0.3">
      <c r="A87" s="45" t="s">
        <v>450</v>
      </c>
      <c r="B87" s="46" t="s">
        <v>451</v>
      </c>
      <c r="C87" s="45" t="s">
        <v>194</v>
      </c>
      <c r="D87" s="45" t="s">
        <v>51</v>
      </c>
      <c r="E87" s="45">
        <v>60</v>
      </c>
      <c r="F87" s="45" t="s">
        <v>28</v>
      </c>
      <c r="G87" s="45" t="s">
        <v>179</v>
      </c>
      <c r="H87" s="45" t="s">
        <v>144</v>
      </c>
      <c r="M87" s="42"/>
      <c r="N87" s="42"/>
      <c r="O87" s="42"/>
    </row>
    <row r="88" spans="1:15" hidden="1" x14ac:dyDescent="0.3">
      <c r="A88" s="45" t="s">
        <v>211</v>
      </c>
      <c r="B88" s="46" t="s">
        <v>212</v>
      </c>
      <c r="C88" s="45" t="s">
        <v>194</v>
      </c>
      <c r="D88" s="45" t="s">
        <v>51</v>
      </c>
      <c r="E88" s="45">
        <v>61</v>
      </c>
      <c r="F88" s="45" t="s">
        <v>28</v>
      </c>
      <c r="G88" s="45" t="s">
        <v>183</v>
      </c>
      <c r="H88" s="45" t="s">
        <v>144</v>
      </c>
      <c r="M88" s="42"/>
      <c r="N88" s="42"/>
      <c r="O88" s="42"/>
    </row>
    <row r="89" spans="1:15" hidden="1" x14ac:dyDescent="0.3">
      <c r="A89" s="45" t="s">
        <v>452</v>
      </c>
      <c r="B89" s="46" t="s">
        <v>453</v>
      </c>
      <c r="C89" s="45" t="s">
        <v>194</v>
      </c>
      <c r="D89" s="45" t="s">
        <v>51</v>
      </c>
      <c r="E89" s="45">
        <v>62</v>
      </c>
      <c r="F89" s="45" t="s">
        <v>28</v>
      </c>
      <c r="G89" s="45" t="s">
        <v>454</v>
      </c>
      <c r="H89" s="45" t="s">
        <v>144</v>
      </c>
      <c r="M89" s="42"/>
      <c r="N89" s="42"/>
      <c r="O89" s="42"/>
    </row>
    <row r="90" spans="1:15" hidden="1" x14ac:dyDescent="0.3">
      <c r="A90" s="45" t="s">
        <v>455</v>
      </c>
      <c r="B90" s="46" t="s">
        <v>456</v>
      </c>
      <c r="C90" s="45" t="s">
        <v>194</v>
      </c>
      <c r="D90" s="45" t="s">
        <v>51</v>
      </c>
      <c r="E90" s="45">
        <v>63</v>
      </c>
      <c r="F90" s="45" t="s">
        <v>28</v>
      </c>
      <c r="G90" s="45" t="s">
        <v>314</v>
      </c>
      <c r="H90" s="45" t="s">
        <v>144</v>
      </c>
      <c r="M90" s="42"/>
      <c r="N90" s="42"/>
      <c r="O90" s="42"/>
    </row>
    <row r="91" spans="1:15" hidden="1" x14ac:dyDescent="0.3">
      <c r="A91" s="45" t="s">
        <v>457</v>
      </c>
      <c r="B91" s="46" t="s">
        <v>458</v>
      </c>
      <c r="C91" s="45" t="s">
        <v>194</v>
      </c>
      <c r="D91" s="45" t="s">
        <v>51</v>
      </c>
      <c r="E91" s="45">
        <v>64</v>
      </c>
      <c r="F91" s="45" t="s">
        <v>28</v>
      </c>
      <c r="G91" s="45" t="s">
        <v>175</v>
      </c>
      <c r="H91" s="45" t="s">
        <v>144</v>
      </c>
      <c r="M91" s="42"/>
      <c r="N91" s="42"/>
      <c r="O91" s="42"/>
    </row>
    <row r="92" spans="1:15" hidden="1" x14ac:dyDescent="0.3">
      <c r="A92" s="45" t="s">
        <v>459</v>
      </c>
      <c r="B92" s="46" t="s">
        <v>460</v>
      </c>
      <c r="C92" s="45" t="s">
        <v>194</v>
      </c>
      <c r="D92" s="45" t="s">
        <v>51</v>
      </c>
      <c r="E92" s="45">
        <v>64</v>
      </c>
      <c r="F92" s="45" t="s">
        <v>28</v>
      </c>
      <c r="G92" s="45" t="s">
        <v>175</v>
      </c>
      <c r="H92" s="45" t="s">
        <v>144</v>
      </c>
      <c r="M92" s="42"/>
      <c r="N92" s="42"/>
      <c r="O92" s="42"/>
    </row>
    <row r="93" spans="1:15" hidden="1" x14ac:dyDescent="0.3">
      <c r="A93" s="45" t="s">
        <v>461</v>
      </c>
      <c r="B93" s="46" t="s">
        <v>462</v>
      </c>
      <c r="C93" s="45" t="s">
        <v>194</v>
      </c>
      <c r="D93" s="45" t="s">
        <v>51</v>
      </c>
      <c r="E93" s="45">
        <v>64</v>
      </c>
      <c r="F93" s="45" t="s">
        <v>28</v>
      </c>
      <c r="G93" s="45" t="s">
        <v>175</v>
      </c>
      <c r="H93" s="45" t="s">
        <v>144</v>
      </c>
      <c r="M93" s="42"/>
      <c r="N93" s="42"/>
      <c r="O93" s="42"/>
    </row>
    <row r="94" spans="1:15" hidden="1" x14ac:dyDescent="0.3">
      <c r="A94" s="45" t="s">
        <v>463</v>
      </c>
      <c r="B94" s="46" t="s">
        <v>464</v>
      </c>
      <c r="C94" s="45" t="s">
        <v>194</v>
      </c>
      <c r="D94" s="45" t="s">
        <v>51</v>
      </c>
      <c r="E94" s="45">
        <v>65</v>
      </c>
      <c r="F94" s="45" t="s">
        <v>28</v>
      </c>
      <c r="G94" s="45" t="s">
        <v>175</v>
      </c>
      <c r="H94" s="45" t="s">
        <v>144</v>
      </c>
      <c r="M94" s="42"/>
      <c r="N94" s="42"/>
      <c r="O94" s="42"/>
    </row>
    <row r="95" spans="1:15" hidden="1" x14ac:dyDescent="0.3">
      <c r="A95" s="45" t="s">
        <v>465</v>
      </c>
      <c r="B95" s="46" t="s">
        <v>466</v>
      </c>
      <c r="C95" s="45" t="s">
        <v>194</v>
      </c>
      <c r="D95" s="45" t="s">
        <v>51</v>
      </c>
      <c r="E95" s="45">
        <v>65</v>
      </c>
      <c r="F95" s="45" t="s">
        <v>28</v>
      </c>
      <c r="G95" s="45" t="s">
        <v>175</v>
      </c>
      <c r="H95" s="45" t="s">
        <v>144</v>
      </c>
      <c r="M95" s="42"/>
      <c r="N95" s="42"/>
      <c r="O95" s="42"/>
    </row>
    <row r="96" spans="1:15" hidden="1" x14ac:dyDescent="0.3">
      <c r="A96" s="45" t="s">
        <v>424</v>
      </c>
      <c r="B96" s="46" t="s">
        <v>425</v>
      </c>
      <c r="C96" s="45" t="s">
        <v>194</v>
      </c>
      <c r="D96" s="45" t="s">
        <v>51</v>
      </c>
      <c r="E96" s="45">
        <v>66</v>
      </c>
      <c r="F96" s="45" t="s">
        <v>28</v>
      </c>
      <c r="G96" s="45" t="s">
        <v>177</v>
      </c>
      <c r="H96" s="45" t="s">
        <v>144</v>
      </c>
      <c r="M96" s="42"/>
      <c r="N96" s="42"/>
      <c r="O96" s="42"/>
    </row>
    <row r="97" spans="1:15" hidden="1" x14ac:dyDescent="0.3">
      <c r="A97" s="45" t="s">
        <v>467</v>
      </c>
      <c r="B97" s="46" t="s">
        <v>468</v>
      </c>
      <c r="C97" s="45" t="s">
        <v>194</v>
      </c>
      <c r="D97" s="45" t="s">
        <v>51</v>
      </c>
      <c r="E97" s="45">
        <v>67</v>
      </c>
      <c r="F97" s="45" t="s">
        <v>28</v>
      </c>
      <c r="G97" s="45" t="s">
        <v>175</v>
      </c>
      <c r="H97" s="45" t="s">
        <v>144</v>
      </c>
      <c r="M97" s="42"/>
      <c r="N97" s="42"/>
      <c r="O97" s="42"/>
    </row>
    <row r="98" spans="1:15" hidden="1" x14ac:dyDescent="0.3">
      <c r="A98" s="45" t="s">
        <v>469</v>
      </c>
      <c r="B98" s="46" t="s">
        <v>470</v>
      </c>
      <c r="C98" s="45" t="s">
        <v>194</v>
      </c>
      <c r="D98" s="45" t="s">
        <v>51</v>
      </c>
      <c r="E98" s="45">
        <v>68</v>
      </c>
      <c r="F98" s="45" t="s">
        <v>28</v>
      </c>
      <c r="G98" s="45" t="s">
        <v>177</v>
      </c>
      <c r="H98" s="45" t="s">
        <v>144</v>
      </c>
      <c r="M98" s="42"/>
      <c r="N98" s="42"/>
      <c r="O98" s="42"/>
    </row>
    <row r="99" spans="1:15" hidden="1" x14ac:dyDescent="0.3">
      <c r="A99" s="45" t="s">
        <v>471</v>
      </c>
      <c r="B99" s="46" t="s">
        <v>472</v>
      </c>
      <c r="C99" s="45" t="s">
        <v>180</v>
      </c>
      <c r="D99" s="45" t="s">
        <v>51</v>
      </c>
      <c r="E99" s="45">
        <v>69</v>
      </c>
      <c r="F99" s="45" t="s">
        <v>28</v>
      </c>
      <c r="G99" s="45" t="s">
        <v>175</v>
      </c>
      <c r="H99" s="45" t="s">
        <v>144</v>
      </c>
      <c r="M99" s="42"/>
      <c r="N99" s="42"/>
      <c r="O99" s="42"/>
    </row>
    <row r="100" spans="1:15" hidden="1" x14ac:dyDescent="0.3">
      <c r="A100" s="45" t="s">
        <v>473</v>
      </c>
      <c r="B100" s="46" t="s">
        <v>474</v>
      </c>
      <c r="C100" s="45" t="s">
        <v>180</v>
      </c>
      <c r="D100" s="45" t="s">
        <v>51</v>
      </c>
      <c r="E100" s="45">
        <v>70</v>
      </c>
      <c r="F100" s="45" t="s">
        <v>28</v>
      </c>
      <c r="G100" s="45" t="s">
        <v>175</v>
      </c>
      <c r="H100" s="45" t="s">
        <v>144</v>
      </c>
      <c r="M100" s="42"/>
      <c r="N100" s="42"/>
      <c r="O100" s="42"/>
    </row>
    <row r="101" spans="1:15" hidden="1" x14ac:dyDescent="0.3">
      <c r="A101" s="45" t="s">
        <v>475</v>
      </c>
      <c r="B101" s="46" t="s">
        <v>476</v>
      </c>
      <c r="C101" s="45" t="s">
        <v>180</v>
      </c>
      <c r="D101" s="45" t="s">
        <v>51</v>
      </c>
      <c r="E101" s="45">
        <v>71</v>
      </c>
      <c r="F101" s="45" t="s">
        <v>28</v>
      </c>
      <c r="G101" s="45" t="s">
        <v>179</v>
      </c>
      <c r="H101" s="45" t="s">
        <v>144</v>
      </c>
      <c r="M101" s="42"/>
      <c r="N101" s="42"/>
      <c r="O101" s="42"/>
    </row>
    <row r="102" spans="1:15" hidden="1" x14ac:dyDescent="0.3">
      <c r="A102" s="45" t="s">
        <v>477</v>
      </c>
      <c r="B102" s="46" t="s">
        <v>478</v>
      </c>
      <c r="C102" s="45" t="s">
        <v>180</v>
      </c>
      <c r="D102" s="45" t="s">
        <v>51</v>
      </c>
      <c r="E102" s="45">
        <v>72</v>
      </c>
      <c r="F102" s="45" t="s">
        <v>28</v>
      </c>
      <c r="G102" s="45" t="s">
        <v>183</v>
      </c>
      <c r="H102" s="45" t="s">
        <v>144</v>
      </c>
      <c r="M102" s="42"/>
      <c r="N102" s="42"/>
      <c r="O102" s="42"/>
    </row>
    <row r="103" spans="1:15" hidden="1" x14ac:dyDescent="0.3">
      <c r="A103" s="45" t="s">
        <v>479</v>
      </c>
      <c r="B103" s="46" t="s">
        <v>480</v>
      </c>
      <c r="C103" s="45" t="s">
        <v>180</v>
      </c>
      <c r="D103" s="45" t="s">
        <v>51</v>
      </c>
      <c r="E103" s="45">
        <v>73</v>
      </c>
      <c r="F103" s="45" t="s">
        <v>28</v>
      </c>
      <c r="G103" s="45" t="s">
        <v>673</v>
      </c>
      <c r="H103" s="45" t="s">
        <v>144</v>
      </c>
      <c r="M103" s="42"/>
      <c r="N103" s="42"/>
      <c r="O103" s="42"/>
    </row>
    <row r="104" spans="1:15" hidden="1" x14ac:dyDescent="0.3">
      <c r="A104" s="45" t="s">
        <v>481</v>
      </c>
      <c r="B104" s="46" t="s">
        <v>482</v>
      </c>
      <c r="C104" s="45" t="s">
        <v>180</v>
      </c>
      <c r="D104" s="45" t="s">
        <v>51</v>
      </c>
      <c r="E104" s="45">
        <v>73</v>
      </c>
      <c r="F104" s="45" t="s">
        <v>28</v>
      </c>
      <c r="G104" s="45" t="s">
        <v>673</v>
      </c>
      <c r="H104" s="45" t="s">
        <v>144</v>
      </c>
      <c r="M104" s="42"/>
      <c r="N104" s="42"/>
      <c r="O104" s="42"/>
    </row>
    <row r="105" spans="1:15" hidden="1" x14ac:dyDescent="0.3">
      <c r="A105" s="45" t="s">
        <v>483</v>
      </c>
      <c r="B105" s="46" t="s">
        <v>484</v>
      </c>
      <c r="C105" s="45" t="s">
        <v>180</v>
      </c>
      <c r="D105" s="45" t="s">
        <v>51</v>
      </c>
      <c r="E105" s="45">
        <v>73</v>
      </c>
      <c r="F105" s="45" t="s">
        <v>28</v>
      </c>
      <c r="G105" s="45" t="s">
        <v>673</v>
      </c>
      <c r="H105" s="45" t="s">
        <v>144</v>
      </c>
      <c r="M105" s="42"/>
      <c r="N105" s="42"/>
      <c r="O105" s="42"/>
    </row>
    <row r="106" spans="1:15" hidden="1" x14ac:dyDescent="0.3">
      <c r="A106" s="45" t="s">
        <v>485</v>
      </c>
      <c r="B106" s="46" t="s">
        <v>486</v>
      </c>
      <c r="C106" s="45" t="s">
        <v>180</v>
      </c>
      <c r="D106" s="45" t="s">
        <v>51</v>
      </c>
      <c r="E106" s="45">
        <v>74</v>
      </c>
      <c r="F106" s="45" t="s">
        <v>28</v>
      </c>
      <c r="G106" s="45" t="s">
        <v>311</v>
      </c>
      <c r="H106" s="45" t="s">
        <v>144</v>
      </c>
      <c r="M106" s="42"/>
      <c r="N106" s="42"/>
      <c r="O106" s="42"/>
    </row>
    <row r="107" spans="1:15" hidden="1" x14ac:dyDescent="0.3">
      <c r="A107" s="45" t="s">
        <v>487</v>
      </c>
      <c r="B107" s="46" t="s">
        <v>488</v>
      </c>
      <c r="C107" s="45" t="s">
        <v>180</v>
      </c>
      <c r="D107" s="45" t="s">
        <v>51</v>
      </c>
      <c r="E107" s="45">
        <v>75</v>
      </c>
      <c r="F107" s="45" t="s">
        <v>28</v>
      </c>
      <c r="G107" s="45" t="s">
        <v>175</v>
      </c>
      <c r="H107" s="45" t="s">
        <v>144</v>
      </c>
      <c r="M107" s="42"/>
      <c r="N107" s="42"/>
      <c r="O107" s="42"/>
    </row>
    <row r="108" spans="1:15" hidden="1" x14ac:dyDescent="0.3">
      <c r="A108" s="45" t="s">
        <v>489</v>
      </c>
      <c r="B108" s="46" t="s">
        <v>490</v>
      </c>
      <c r="C108" s="45" t="s">
        <v>180</v>
      </c>
      <c r="D108" s="45" t="s">
        <v>51</v>
      </c>
      <c r="E108" s="45">
        <v>76</v>
      </c>
      <c r="F108" s="45" t="s">
        <v>28</v>
      </c>
      <c r="G108" s="45" t="s">
        <v>674</v>
      </c>
      <c r="H108" s="45" t="s">
        <v>144</v>
      </c>
      <c r="M108" s="42"/>
      <c r="N108" s="42"/>
      <c r="O108" s="42"/>
    </row>
    <row r="109" spans="1:15" hidden="1" x14ac:dyDescent="0.3">
      <c r="A109" s="45" t="s">
        <v>491</v>
      </c>
      <c r="B109" s="46" t="s">
        <v>492</v>
      </c>
      <c r="C109" s="45" t="s">
        <v>180</v>
      </c>
      <c r="D109" s="45" t="s">
        <v>51</v>
      </c>
      <c r="E109" s="45">
        <v>77</v>
      </c>
      <c r="F109" s="45" t="s">
        <v>28</v>
      </c>
      <c r="G109" s="45" t="s">
        <v>280</v>
      </c>
      <c r="H109" s="45" t="s">
        <v>144</v>
      </c>
      <c r="M109" s="42"/>
      <c r="N109" s="42"/>
      <c r="O109" s="42"/>
    </row>
    <row r="110" spans="1:15" hidden="1" x14ac:dyDescent="0.3">
      <c r="A110" s="45" t="s">
        <v>493</v>
      </c>
      <c r="B110" s="46" t="s">
        <v>494</v>
      </c>
      <c r="C110" s="45" t="s">
        <v>180</v>
      </c>
      <c r="D110" s="45" t="s">
        <v>51</v>
      </c>
      <c r="E110" s="45">
        <v>78</v>
      </c>
      <c r="F110" s="45" t="s">
        <v>28</v>
      </c>
      <c r="G110" s="45" t="s">
        <v>675</v>
      </c>
      <c r="H110" s="45" t="s">
        <v>144</v>
      </c>
      <c r="M110" s="42"/>
      <c r="N110" s="42"/>
      <c r="O110" s="42"/>
    </row>
    <row r="111" spans="1:15" hidden="1" x14ac:dyDescent="0.3">
      <c r="A111" s="45" t="s">
        <v>495</v>
      </c>
      <c r="B111" s="46" t="s">
        <v>496</v>
      </c>
      <c r="C111" s="45" t="s">
        <v>180</v>
      </c>
      <c r="D111" s="45" t="s">
        <v>51</v>
      </c>
      <c r="E111" s="45">
        <v>79</v>
      </c>
      <c r="F111" s="45" t="s">
        <v>28</v>
      </c>
      <c r="G111" s="45" t="s">
        <v>280</v>
      </c>
      <c r="H111" s="45" t="s">
        <v>144</v>
      </c>
      <c r="M111" s="42"/>
      <c r="N111" s="42"/>
      <c r="O111" s="42"/>
    </row>
    <row r="112" spans="1:15" hidden="1" x14ac:dyDescent="0.3">
      <c r="A112" s="45" t="s">
        <v>497</v>
      </c>
      <c r="B112" s="46" t="s">
        <v>498</v>
      </c>
      <c r="C112" s="45" t="s">
        <v>180</v>
      </c>
      <c r="D112" s="45" t="s">
        <v>51</v>
      </c>
      <c r="E112" s="45">
        <v>80</v>
      </c>
      <c r="F112" s="45" t="s">
        <v>28</v>
      </c>
      <c r="G112" s="45" t="s">
        <v>175</v>
      </c>
      <c r="H112" s="45" t="s">
        <v>144</v>
      </c>
      <c r="M112" s="42"/>
      <c r="N112" s="42"/>
      <c r="O112" s="42"/>
    </row>
    <row r="113" spans="1:15" hidden="1" x14ac:dyDescent="0.3">
      <c r="A113" s="45" t="s">
        <v>499</v>
      </c>
      <c r="B113" s="46" t="s">
        <v>500</v>
      </c>
      <c r="C113" s="45" t="s">
        <v>501</v>
      </c>
      <c r="D113" s="45" t="s">
        <v>51</v>
      </c>
      <c r="E113" s="45">
        <v>81</v>
      </c>
      <c r="F113" s="45" t="s">
        <v>28</v>
      </c>
      <c r="G113" s="45" t="s">
        <v>502</v>
      </c>
      <c r="H113" s="45" t="s">
        <v>144</v>
      </c>
      <c r="M113" s="42"/>
      <c r="N113" s="42"/>
      <c r="O113" s="42"/>
    </row>
    <row r="114" spans="1:15" x14ac:dyDescent="0.3">
      <c r="A114" s="45" t="s">
        <v>676</v>
      </c>
      <c r="B114" s="46" t="s">
        <v>677</v>
      </c>
      <c r="C114" s="45" t="s">
        <v>678</v>
      </c>
      <c r="D114" s="45" t="s">
        <v>51</v>
      </c>
      <c r="E114" s="45">
        <v>1</v>
      </c>
      <c r="F114" s="45" t="s">
        <v>28</v>
      </c>
      <c r="G114" s="45" t="s">
        <v>699</v>
      </c>
      <c r="H114" s="45" t="s">
        <v>144</v>
      </c>
      <c r="M114" s="42"/>
      <c r="N114" s="42"/>
      <c r="O114" s="42"/>
    </row>
    <row r="115" spans="1:15" x14ac:dyDescent="0.3">
      <c r="A115" s="45" t="s">
        <v>679</v>
      </c>
      <c r="B115" s="46" t="s">
        <v>680</v>
      </c>
      <c r="C115" s="45" t="s">
        <v>678</v>
      </c>
      <c r="D115" s="45" t="s">
        <v>51</v>
      </c>
      <c r="E115" s="45">
        <v>1</v>
      </c>
      <c r="F115" s="45" t="s">
        <v>28</v>
      </c>
      <c r="G115" s="45" t="s">
        <v>699</v>
      </c>
      <c r="H115" s="45" t="s">
        <v>144</v>
      </c>
      <c r="M115" s="42"/>
      <c r="N115" s="42"/>
      <c r="O115" s="42"/>
    </row>
    <row r="116" spans="1:15" x14ac:dyDescent="0.3">
      <c r="A116" s="45" t="s">
        <v>681</v>
      </c>
      <c r="B116" s="46" t="s">
        <v>682</v>
      </c>
      <c r="C116" s="45" t="s">
        <v>678</v>
      </c>
      <c r="D116" s="45" t="s">
        <v>51</v>
      </c>
      <c r="E116" s="45">
        <v>1</v>
      </c>
      <c r="F116" s="45" t="s">
        <v>28</v>
      </c>
      <c r="G116" s="45" t="s">
        <v>699</v>
      </c>
      <c r="H116" s="45" t="s">
        <v>144</v>
      </c>
      <c r="M116" s="42"/>
      <c r="N116" s="42"/>
      <c r="O116" s="42"/>
    </row>
    <row r="117" spans="1:15" x14ac:dyDescent="0.3">
      <c r="A117" s="45" t="s">
        <v>683</v>
      </c>
      <c r="B117" s="46" t="s">
        <v>684</v>
      </c>
      <c r="C117" s="45" t="s">
        <v>678</v>
      </c>
      <c r="D117" s="45" t="s">
        <v>51</v>
      </c>
      <c r="E117" s="45">
        <v>1</v>
      </c>
      <c r="F117" s="45" t="s">
        <v>28</v>
      </c>
      <c r="G117" s="45" t="s">
        <v>699</v>
      </c>
      <c r="H117" s="45" t="s">
        <v>144</v>
      </c>
      <c r="M117" s="42"/>
      <c r="N117" s="42"/>
      <c r="O117" s="42"/>
    </row>
    <row r="118" spans="1:15" x14ac:dyDescent="0.3">
      <c r="A118" s="45" t="s">
        <v>685</v>
      </c>
      <c r="B118" s="46" t="s">
        <v>686</v>
      </c>
      <c r="C118" s="45" t="s">
        <v>678</v>
      </c>
      <c r="D118" s="45" t="s">
        <v>51</v>
      </c>
      <c r="E118" s="45">
        <v>1</v>
      </c>
      <c r="F118" s="45" t="s">
        <v>28</v>
      </c>
      <c r="G118" s="45" t="s">
        <v>699</v>
      </c>
      <c r="H118" s="45" t="s">
        <v>144</v>
      </c>
      <c r="M118" s="42"/>
      <c r="N118" s="42"/>
      <c r="O118" s="42"/>
    </row>
    <row r="119" spans="1:15" x14ac:dyDescent="0.3">
      <c r="A119" s="45" t="s">
        <v>687</v>
      </c>
      <c r="B119" s="46" t="s">
        <v>688</v>
      </c>
      <c r="C119" s="45" t="s">
        <v>678</v>
      </c>
      <c r="D119" s="45" t="s">
        <v>51</v>
      </c>
      <c r="E119" s="45">
        <v>1</v>
      </c>
      <c r="F119" s="45" t="s">
        <v>28</v>
      </c>
      <c r="G119" s="45" t="s">
        <v>699</v>
      </c>
      <c r="H119" s="45" t="s">
        <v>144</v>
      </c>
      <c r="M119" s="42"/>
      <c r="N119" s="42"/>
      <c r="O119" s="42"/>
    </row>
    <row r="120" spans="1:15" x14ac:dyDescent="0.3">
      <c r="A120" s="45" t="s">
        <v>689</v>
      </c>
      <c r="B120" s="46" t="s">
        <v>690</v>
      </c>
      <c r="C120" s="45" t="s">
        <v>678</v>
      </c>
      <c r="D120" s="45" t="s">
        <v>51</v>
      </c>
      <c r="E120" s="45">
        <v>1</v>
      </c>
      <c r="F120" s="45" t="s">
        <v>28</v>
      </c>
      <c r="G120" s="45" t="s">
        <v>699</v>
      </c>
      <c r="H120" s="45" t="s">
        <v>144</v>
      </c>
      <c r="M120" s="42"/>
      <c r="N120" s="42"/>
      <c r="O120" s="42"/>
    </row>
    <row r="121" spans="1:15" x14ac:dyDescent="0.3">
      <c r="A121" s="45" t="s">
        <v>691</v>
      </c>
      <c r="B121" s="46" t="s">
        <v>692</v>
      </c>
      <c r="C121" s="45" t="s">
        <v>678</v>
      </c>
      <c r="D121" s="45" t="s">
        <v>51</v>
      </c>
      <c r="E121" s="45">
        <v>1</v>
      </c>
      <c r="F121" s="45" t="s">
        <v>28</v>
      </c>
      <c r="G121" s="45" t="s">
        <v>699</v>
      </c>
      <c r="H121" s="45" t="s">
        <v>144</v>
      </c>
      <c r="M121" s="42"/>
      <c r="N121" s="42"/>
      <c r="O121" s="42"/>
    </row>
    <row r="122" spans="1:15" x14ac:dyDescent="0.3">
      <c r="A122" s="45" t="s">
        <v>693</v>
      </c>
      <c r="B122" s="46" t="s">
        <v>694</v>
      </c>
      <c r="C122" s="45" t="s">
        <v>678</v>
      </c>
      <c r="D122" s="45" t="s">
        <v>51</v>
      </c>
      <c r="E122" s="45">
        <v>1</v>
      </c>
      <c r="F122" s="45" t="s">
        <v>28</v>
      </c>
      <c r="G122" s="45" t="s">
        <v>699</v>
      </c>
      <c r="H122" s="45" t="s">
        <v>144</v>
      </c>
      <c r="M122" s="42"/>
      <c r="N122" s="42"/>
      <c r="O122" s="42"/>
    </row>
    <row r="123" spans="1:15" x14ac:dyDescent="0.3">
      <c r="A123" s="45" t="s">
        <v>695</v>
      </c>
      <c r="B123" s="46" t="s">
        <v>696</v>
      </c>
      <c r="C123" s="45" t="s">
        <v>678</v>
      </c>
      <c r="D123" s="45" t="s">
        <v>51</v>
      </c>
      <c r="E123" s="45">
        <v>1</v>
      </c>
      <c r="F123" s="45" t="s">
        <v>28</v>
      </c>
      <c r="G123" s="45" t="s">
        <v>699</v>
      </c>
      <c r="H123" s="45" t="s">
        <v>144</v>
      </c>
      <c r="M123" s="42"/>
      <c r="N123" s="42"/>
      <c r="O123" s="42"/>
    </row>
    <row r="124" spans="1:15" x14ac:dyDescent="0.3">
      <c r="A124" s="45" t="s">
        <v>697</v>
      </c>
      <c r="B124" s="46" t="s">
        <v>698</v>
      </c>
      <c r="C124" s="45" t="s">
        <v>678</v>
      </c>
      <c r="D124" s="45" t="s">
        <v>94</v>
      </c>
      <c r="E124" s="45">
        <v>1</v>
      </c>
      <c r="F124" s="45" t="s">
        <v>28</v>
      </c>
      <c r="G124" s="45" t="s">
        <v>105</v>
      </c>
      <c r="H124" s="45" t="s">
        <v>144</v>
      </c>
      <c r="M124" s="42"/>
      <c r="N124" s="42"/>
      <c r="O124" s="42"/>
    </row>
    <row r="125" spans="1:15" x14ac:dyDescent="0.3">
      <c r="A125" s="45" t="s">
        <v>244</v>
      </c>
      <c r="B125" s="46" t="s">
        <v>245</v>
      </c>
      <c r="C125" s="45" t="s">
        <v>243</v>
      </c>
      <c r="D125" s="45" t="s">
        <v>94</v>
      </c>
      <c r="E125" s="45">
        <v>10</v>
      </c>
      <c r="F125" s="45" t="s">
        <v>28</v>
      </c>
      <c r="G125" s="45" t="s">
        <v>38</v>
      </c>
      <c r="H125" s="45" t="s">
        <v>144</v>
      </c>
      <c r="M125" s="42"/>
      <c r="N125" s="42"/>
      <c r="O125" s="42"/>
    </row>
    <row r="126" spans="1:15" x14ac:dyDescent="0.3">
      <c r="A126" s="45" t="s">
        <v>241</v>
      </c>
      <c r="B126" s="46" t="s">
        <v>242</v>
      </c>
      <c r="C126" s="45" t="s">
        <v>243</v>
      </c>
      <c r="D126" s="45" t="s">
        <v>94</v>
      </c>
      <c r="E126" s="45">
        <v>10</v>
      </c>
      <c r="F126" s="45" t="s">
        <v>28</v>
      </c>
      <c r="G126" s="45" t="s">
        <v>99</v>
      </c>
      <c r="H126" s="45" t="s">
        <v>144</v>
      </c>
      <c r="M126" s="42"/>
      <c r="N126" s="42"/>
      <c r="O126" s="42"/>
    </row>
    <row r="127" spans="1:15" x14ac:dyDescent="0.3">
      <c r="A127" s="45" t="s">
        <v>246</v>
      </c>
      <c r="B127" s="46" t="s">
        <v>247</v>
      </c>
      <c r="C127" s="45" t="s">
        <v>243</v>
      </c>
      <c r="D127" s="45" t="s">
        <v>94</v>
      </c>
      <c r="E127" s="45">
        <v>11</v>
      </c>
      <c r="F127" s="45" t="s">
        <v>28</v>
      </c>
      <c r="G127" s="45" t="s">
        <v>38</v>
      </c>
      <c r="H127" s="45" t="s">
        <v>144</v>
      </c>
      <c r="M127" s="42"/>
      <c r="N127" s="42"/>
      <c r="O127" s="42"/>
    </row>
    <row r="128" spans="1:15" x14ac:dyDescent="0.3">
      <c r="A128" s="45" t="s">
        <v>248</v>
      </c>
      <c r="B128" s="46" t="s">
        <v>249</v>
      </c>
      <c r="C128" s="45" t="s">
        <v>243</v>
      </c>
      <c r="D128" s="45" t="s">
        <v>94</v>
      </c>
      <c r="E128" s="45">
        <v>11</v>
      </c>
      <c r="F128" s="45" t="s">
        <v>28</v>
      </c>
      <c r="G128" s="45" t="s">
        <v>38</v>
      </c>
      <c r="H128" s="45" t="s">
        <v>144</v>
      </c>
      <c r="M128" s="42"/>
      <c r="N128" s="42"/>
      <c r="O128" s="42"/>
    </row>
    <row r="129" spans="1:15" x14ac:dyDescent="0.3">
      <c r="A129" s="45" t="s">
        <v>250</v>
      </c>
      <c r="B129" s="46" t="s">
        <v>251</v>
      </c>
      <c r="C129" s="45" t="s">
        <v>243</v>
      </c>
      <c r="D129" s="45" t="s">
        <v>94</v>
      </c>
      <c r="E129" s="45">
        <v>12</v>
      </c>
      <c r="F129" s="45" t="s">
        <v>28</v>
      </c>
      <c r="G129" s="45" t="s">
        <v>38</v>
      </c>
      <c r="H129" s="45" t="s">
        <v>144</v>
      </c>
      <c r="M129" s="42"/>
      <c r="N129" s="42"/>
      <c r="O129" s="42"/>
    </row>
    <row r="130" spans="1:15" x14ac:dyDescent="0.3">
      <c r="A130" s="45" t="s">
        <v>252</v>
      </c>
      <c r="B130" s="46" t="s">
        <v>253</v>
      </c>
      <c r="C130" s="45" t="s">
        <v>243</v>
      </c>
      <c r="D130" s="45" t="s">
        <v>94</v>
      </c>
      <c r="E130" s="45">
        <v>12</v>
      </c>
      <c r="F130" s="45" t="s">
        <v>28</v>
      </c>
      <c r="G130" s="45" t="s">
        <v>38</v>
      </c>
      <c r="H130" s="45" t="s">
        <v>144</v>
      </c>
      <c r="M130" s="42"/>
      <c r="N130" s="42"/>
      <c r="O130" s="42"/>
    </row>
    <row r="131" spans="1:15" x14ac:dyDescent="0.3">
      <c r="A131" s="45" t="s">
        <v>254</v>
      </c>
      <c r="B131" s="46" t="s">
        <v>255</v>
      </c>
      <c r="C131" s="45" t="s">
        <v>243</v>
      </c>
      <c r="D131" s="45" t="s">
        <v>94</v>
      </c>
      <c r="E131" s="45">
        <v>12</v>
      </c>
      <c r="F131" s="45" t="s">
        <v>28</v>
      </c>
      <c r="G131" s="45" t="s">
        <v>38</v>
      </c>
      <c r="H131" s="45" t="s">
        <v>144</v>
      </c>
      <c r="M131" s="42"/>
      <c r="N131" s="42"/>
      <c r="O131" s="42"/>
    </row>
    <row r="132" spans="1:15" x14ac:dyDescent="0.3">
      <c r="A132" s="45" t="s">
        <v>256</v>
      </c>
      <c r="B132" s="46" t="s">
        <v>257</v>
      </c>
      <c r="C132" s="45" t="s">
        <v>243</v>
      </c>
      <c r="D132" s="45" t="s">
        <v>94</v>
      </c>
      <c r="E132" s="45">
        <v>12</v>
      </c>
      <c r="F132" s="45" t="s">
        <v>28</v>
      </c>
      <c r="G132" s="45" t="s">
        <v>38</v>
      </c>
      <c r="H132" s="45" t="s">
        <v>144</v>
      </c>
      <c r="M132" s="42"/>
      <c r="N132" s="42"/>
      <c r="O132" s="42"/>
    </row>
    <row r="133" spans="1:15" x14ac:dyDescent="0.3">
      <c r="A133" s="45" t="s">
        <v>258</v>
      </c>
      <c r="B133" s="46" t="s">
        <v>259</v>
      </c>
      <c r="C133" s="45" t="s">
        <v>243</v>
      </c>
      <c r="D133" s="45" t="s">
        <v>94</v>
      </c>
      <c r="E133" s="45">
        <v>12</v>
      </c>
      <c r="F133" s="45" t="s">
        <v>28</v>
      </c>
      <c r="G133" s="45" t="s">
        <v>38</v>
      </c>
      <c r="H133" s="45" t="s">
        <v>144</v>
      </c>
      <c r="M133" s="42"/>
      <c r="N133" s="42"/>
      <c r="O133" s="42"/>
    </row>
    <row r="134" spans="1:15" x14ac:dyDescent="0.3">
      <c r="A134" s="45" t="s">
        <v>260</v>
      </c>
      <c r="B134" s="46" t="s">
        <v>261</v>
      </c>
      <c r="C134" s="45" t="s">
        <v>243</v>
      </c>
      <c r="D134" s="45" t="s">
        <v>94</v>
      </c>
      <c r="E134" s="45">
        <v>12</v>
      </c>
      <c r="F134" s="45" t="s">
        <v>28</v>
      </c>
      <c r="G134" s="45" t="s">
        <v>42</v>
      </c>
      <c r="H134" s="45" t="s">
        <v>144</v>
      </c>
      <c r="M134" s="42"/>
      <c r="N134" s="42"/>
      <c r="O134" s="42"/>
    </row>
    <row r="135" spans="1:15" x14ac:dyDescent="0.3">
      <c r="A135" s="45" t="s">
        <v>262</v>
      </c>
      <c r="B135" s="46" t="s">
        <v>263</v>
      </c>
      <c r="C135" s="45" t="s">
        <v>243</v>
      </c>
      <c r="D135" s="45" t="s">
        <v>94</v>
      </c>
      <c r="E135" s="45">
        <v>12</v>
      </c>
      <c r="F135" s="45" t="s">
        <v>28</v>
      </c>
      <c r="G135" s="45" t="s">
        <v>42</v>
      </c>
      <c r="H135" s="45" t="s">
        <v>144</v>
      </c>
      <c r="M135" s="42"/>
      <c r="N135" s="42"/>
      <c r="O135" s="42"/>
    </row>
    <row r="136" spans="1:15" x14ac:dyDescent="0.3">
      <c r="A136" s="45" t="s">
        <v>264</v>
      </c>
      <c r="B136" s="46" t="s">
        <v>265</v>
      </c>
      <c r="C136" s="45" t="s">
        <v>243</v>
      </c>
      <c r="D136" s="45" t="s">
        <v>94</v>
      </c>
      <c r="E136" s="45">
        <v>12</v>
      </c>
      <c r="F136" s="45" t="s">
        <v>28</v>
      </c>
      <c r="G136" s="45" t="s">
        <v>42</v>
      </c>
      <c r="H136" s="45" t="s">
        <v>144</v>
      </c>
      <c r="M136" s="42"/>
      <c r="N136" s="42"/>
      <c r="O136" s="42"/>
    </row>
    <row r="137" spans="1:15" x14ac:dyDescent="0.3">
      <c r="A137" s="45" t="s">
        <v>266</v>
      </c>
      <c r="B137" s="46" t="s">
        <v>267</v>
      </c>
      <c r="C137" s="45" t="s">
        <v>243</v>
      </c>
      <c r="D137" s="45" t="s">
        <v>94</v>
      </c>
      <c r="E137" s="45">
        <v>13</v>
      </c>
      <c r="F137" s="45" t="s">
        <v>28</v>
      </c>
      <c r="G137" s="45" t="s">
        <v>56</v>
      </c>
      <c r="H137" s="45" t="s">
        <v>144</v>
      </c>
      <c r="M137" s="42"/>
      <c r="N137" s="42"/>
      <c r="O137" s="42"/>
    </row>
    <row r="138" spans="1:15" x14ac:dyDescent="0.3">
      <c r="A138" s="45" t="s">
        <v>503</v>
      </c>
      <c r="B138" s="46" t="s">
        <v>504</v>
      </c>
      <c r="C138" s="45" t="s">
        <v>243</v>
      </c>
      <c r="D138" s="45" t="s">
        <v>51</v>
      </c>
      <c r="E138" s="45">
        <v>82</v>
      </c>
      <c r="F138" s="45" t="s">
        <v>28</v>
      </c>
      <c r="G138" s="45" t="s">
        <v>113</v>
      </c>
      <c r="H138" s="45" t="s">
        <v>144</v>
      </c>
      <c r="M138" s="42"/>
      <c r="N138" s="42"/>
      <c r="O138" s="42"/>
    </row>
    <row r="139" spans="1:15" x14ac:dyDescent="0.3">
      <c r="A139" s="45" t="s">
        <v>505</v>
      </c>
      <c r="B139" s="46" t="s">
        <v>506</v>
      </c>
      <c r="C139" s="47" t="s">
        <v>243</v>
      </c>
      <c r="D139" s="45" t="s">
        <v>51</v>
      </c>
      <c r="E139" s="45">
        <v>82</v>
      </c>
      <c r="F139" s="45" t="s">
        <v>28</v>
      </c>
      <c r="G139" s="45" t="s">
        <v>113</v>
      </c>
      <c r="H139" s="45" t="s">
        <v>144</v>
      </c>
      <c r="M139" s="42"/>
      <c r="N139" s="42"/>
      <c r="O139" s="42"/>
    </row>
    <row r="140" spans="1:15" x14ac:dyDescent="0.3">
      <c r="A140" s="45" t="s">
        <v>507</v>
      </c>
      <c r="B140" s="46" t="s">
        <v>508</v>
      </c>
      <c r="C140" s="45" t="s">
        <v>243</v>
      </c>
      <c r="D140" s="45" t="s">
        <v>51</v>
      </c>
      <c r="E140" s="45">
        <v>83</v>
      </c>
      <c r="F140" s="45" t="s">
        <v>28</v>
      </c>
      <c r="G140" s="45" t="s">
        <v>40</v>
      </c>
      <c r="H140" s="45" t="s">
        <v>144</v>
      </c>
      <c r="M140" s="42"/>
      <c r="N140" s="42"/>
      <c r="O140" s="42"/>
    </row>
    <row r="141" spans="1:15" x14ac:dyDescent="0.3">
      <c r="A141" s="45" t="s">
        <v>509</v>
      </c>
      <c r="B141" s="46" t="s">
        <v>510</v>
      </c>
      <c r="C141" s="45" t="s">
        <v>243</v>
      </c>
      <c r="D141" s="45" t="s">
        <v>51</v>
      </c>
      <c r="E141" s="45">
        <v>84</v>
      </c>
      <c r="F141" s="45" t="s">
        <v>28</v>
      </c>
      <c r="G141" s="45" t="s">
        <v>38</v>
      </c>
      <c r="H141" s="45" t="s">
        <v>144</v>
      </c>
      <c r="M141" s="42"/>
      <c r="N141" s="42"/>
      <c r="O141" s="42"/>
    </row>
    <row r="142" spans="1:15" x14ac:dyDescent="0.3">
      <c r="A142" s="45" t="s">
        <v>511</v>
      </c>
      <c r="B142" s="46" t="s">
        <v>512</v>
      </c>
      <c r="C142" s="45" t="s">
        <v>243</v>
      </c>
      <c r="D142" s="45" t="s">
        <v>51</v>
      </c>
      <c r="E142" s="45">
        <v>84</v>
      </c>
      <c r="F142" s="45" t="s">
        <v>28</v>
      </c>
      <c r="G142" s="45" t="s">
        <v>38</v>
      </c>
      <c r="H142" s="45" t="s">
        <v>144</v>
      </c>
      <c r="M142" s="42"/>
      <c r="N142" s="42"/>
      <c r="O142" s="42"/>
    </row>
    <row r="143" spans="1:15" x14ac:dyDescent="0.3">
      <c r="A143" s="45" t="s">
        <v>513</v>
      </c>
      <c r="B143" s="46" t="s">
        <v>514</v>
      </c>
      <c r="C143" s="45" t="s">
        <v>243</v>
      </c>
      <c r="D143" s="45" t="s">
        <v>51</v>
      </c>
      <c r="E143" s="45">
        <v>84</v>
      </c>
      <c r="F143" s="45" t="s">
        <v>28</v>
      </c>
      <c r="G143" s="45" t="s">
        <v>38</v>
      </c>
      <c r="H143" s="45" t="s">
        <v>144</v>
      </c>
      <c r="M143" s="42"/>
      <c r="N143" s="42"/>
      <c r="O143" s="42"/>
    </row>
    <row r="144" spans="1:15" x14ac:dyDescent="0.3">
      <c r="A144" s="45" t="s">
        <v>515</v>
      </c>
      <c r="B144" s="46" t="s">
        <v>516</v>
      </c>
      <c r="C144" s="45" t="s">
        <v>243</v>
      </c>
      <c r="D144" s="45" t="s">
        <v>51</v>
      </c>
      <c r="E144" s="45">
        <v>85</v>
      </c>
      <c r="F144" s="45" t="s">
        <v>28</v>
      </c>
      <c r="G144" s="45" t="s">
        <v>38</v>
      </c>
      <c r="H144" s="45" t="s">
        <v>144</v>
      </c>
      <c r="M144" s="42"/>
      <c r="N144" s="42"/>
      <c r="O144" s="42"/>
    </row>
    <row r="145" spans="1:15" x14ac:dyDescent="0.3">
      <c r="A145" s="45" t="s">
        <v>517</v>
      </c>
      <c r="B145" s="46" t="s">
        <v>518</v>
      </c>
      <c r="C145" s="45" t="s">
        <v>243</v>
      </c>
      <c r="D145" s="45" t="s">
        <v>51</v>
      </c>
      <c r="E145" s="45">
        <v>86</v>
      </c>
      <c r="F145" s="45" t="s">
        <v>28</v>
      </c>
      <c r="G145" s="45" t="s">
        <v>107</v>
      </c>
      <c r="H145" s="45" t="s">
        <v>144</v>
      </c>
      <c r="M145" s="42"/>
      <c r="N145" s="42"/>
      <c r="O145" s="42"/>
    </row>
    <row r="146" spans="1:15" x14ac:dyDescent="0.3">
      <c r="A146" s="45" t="s">
        <v>519</v>
      </c>
      <c r="B146" s="46" t="s">
        <v>520</v>
      </c>
      <c r="C146" s="45" t="s">
        <v>243</v>
      </c>
      <c r="D146" s="45" t="s">
        <v>51</v>
      </c>
      <c r="E146" s="45">
        <v>87</v>
      </c>
      <c r="F146" s="45" t="s">
        <v>28</v>
      </c>
      <c r="G146" s="45" t="s">
        <v>118</v>
      </c>
      <c r="H146" s="45" t="s">
        <v>144</v>
      </c>
      <c r="M146" s="42"/>
      <c r="N146" s="42"/>
      <c r="O146" s="42"/>
    </row>
    <row r="147" spans="1:15" x14ac:dyDescent="0.3">
      <c r="A147" s="45" t="s">
        <v>521</v>
      </c>
      <c r="B147" s="46" t="s">
        <v>522</v>
      </c>
      <c r="C147" s="45" t="s">
        <v>243</v>
      </c>
      <c r="D147" s="45" t="s">
        <v>51</v>
      </c>
      <c r="E147" s="45">
        <v>87</v>
      </c>
      <c r="F147" s="45" t="s">
        <v>28</v>
      </c>
      <c r="G147" s="45" t="s">
        <v>118</v>
      </c>
      <c r="H147" s="45" t="s">
        <v>144</v>
      </c>
      <c r="M147" s="42"/>
      <c r="N147" s="42"/>
      <c r="O147" s="42"/>
    </row>
    <row r="148" spans="1:15" x14ac:dyDescent="0.3">
      <c r="A148" s="45" t="s">
        <v>523</v>
      </c>
      <c r="B148" s="46" t="s">
        <v>524</v>
      </c>
      <c r="C148" s="45" t="s">
        <v>243</v>
      </c>
      <c r="D148" s="45" t="s">
        <v>51</v>
      </c>
      <c r="E148" s="45">
        <v>88</v>
      </c>
      <c r="F148" s="45" t="s">
        <v>28</v>
      </c>
      <c r="G148" s="45" t="s">
        <v>38</v>
      </c>
      <c r="H148" s="45" t="s">
        <v>144</v>
      </c>
      <c r="M148" s="42"/>
      <c r="N148" s="42"/>
      <c r="O148" s="42"/>
    </row>
    <row r="149" spans="1:15" x14ac:dyDescent="0.3">
      <c r="A149" s="45" t="s">
        <v>525</v>
      </c>
      <c r="B149" s="46" t="s">
        <v>526</v>
      </c>
      <c r="C149" s="45" t="s">
        <v>243</v>
      </c>
      <c r="D149" s="45" t="s">
        <v>51</v>
      </c>
      <c r="E149" s="45">
        <v>88</v>
      </c>
      <c r="F149" s="45" t="s">
        <v>28</v>
      </c>
      <c r="G149" s="45" t="s">
        <v>38</v>
      </c>
      <c r="H149" s="45" t="s">
        <v>144</v>
      </c>
      <c r="M149" s="42"/>
      <c r="N149" s="42"/>
      <c r="O149" s="42"/>
    </row>
    <row r="150" spans="1:15" x14ac:dyDescent="0.3">
      <c r="A150" s="45" t="s">
        <v>527</v>
      </c>
      <c r="B150" s="46" t="s">
        <v>528</v>
      </c>
      <c r="C150" s="45" t="s">
        <v>243</v>
      </c>
      <c r="D150" s="45" t="s">
        <v>51</v>
      </c>
      <c r="E150" s="45">
        <v>88</v>
      </c>
      <c r="F150" s="45" t="s">
        <v>28</v>
      </c>
      <c r="G150" s="45" t="s">
        <v>38</v>
      </c>
      <c r="H150" s="45" t="s">
        <v>144</v>
      </c>
      <c r="M150" s="42"/>
      <c r="N150" s="42"/>
      <c r="O150" s="42"/>
    </row>
    <row r="151" spans="1:15" x14ac:dyDescent="0.3">
      <c r="A151" s="45" t="s">
        <v>529</v>
      </c>
      <c r="B151" s="46" t="s">
        <v>530</v>
      </c>
      <c r="C151" s="45" t="s">
        <v>243</v>
      </c>
      <c r="D151" s="45" t="s">
        <v>51</v>
      </c>
      <c r="E151" s="45">
        <v>88</v>
      </c>
      <c r="F151" s="45" t="s">
        <v>28</v>
      </c>
      <c r="G151" s="45" t="s">
        <v>38</v>
      </c>
      <c r="H151" s="45" t="s">
        <v>144</v>
      </c>
      <c r="M151" s="42"/>
      <c r="N151" s="42"/>
      <c r="O151" s="42"/>
    </row>
    <row r="152" spans="1:15" x14ac:dyDescent="0.3">
      <c r="A152" s="45" t="s">
        <v>531</v>
      </c>
      <c r="B152" s="46" t="s">
        <v>532</v>
      </c>
      <c r="C152" s="45" t="s">
        <v>243</v>
      </c>
      <c r="D152" s="45" t="s">
        <v>51</v>
      </c>
      <c r="E152" s="45">
        <v>89</v>
      </c>
      <c r="F152" s="45" t="s">
        <v>28</v>
      </c>
      <c r="G152" s="45" t="s">
        <v>38</v>
      </c>
      <c r="H152" s="45" t="s">
        <v>144</v>
      </c>
      <c r="M152" s="42"/>
      <c r="N152" s="42"/>
      <c r="O152" s="42"/>
    </row>
    <row r="153" spans="1:15" x14ac:dyDescent="0.3">
      <c r="A153" s="45" t="s">
        <v>533</v>
      </c>
      <c r="B153" s="46" t="s">
        <v>534</v>
      </c>
      <c r="C153" s="45" t="s">
        <v>243</v>
      </c>
      <c r="D153" s="45" t="s">
        <v>51</v>
      </c>
      <c r="E153" s="45">
        <v>89</v>
      </c>
      <c r="F153" s="45" t="s">
        <v>28</v>
      </c>
      <c r="G153" s="45" t="s">
        <v>38</v>
      </c>
      <c r="H153" s="45" t="s">
        <v>144</v>
      </c>
      <c r="M153" s="42"/>
      <c r="N153" s="42"/>
      <c r="O153" s="42"/>
    </row>
    <row r="154" spans="1:15" x14ac:dyDescent="0.3">
      <c r="A154" s="45" t="s">
        <v>535</v>
      </c>
      <c r="B154" s="46" t="s">
        <v>536</v>
      </c>
      <c r="C154" s="45" t="s">
        <v>243</v>
      </c>
      <c r="D154" s="45" t="s">
        <v>51</v>
      </c>
      <c r="E154" s="45">
        <v>89</v>
      </c>
      <c r="F154" s="45" t="s">
        <v>28</v>
      </c>
      <c r="G154" s="45" t="s">
        <v>38</v>
      </c>
      <c r="H154" s="45" t="s">
        <v>144</v>
      </c>
      <c r="M154" s="42"/>
      <c r="N154" s="42"/>
      <c r="O154" s="42"/>
    </row>
    <row r="155" spans="1:15" x14ac:dyDescent="0.3">
      <c r="A155" s="45" t="s">
        <v>537</v>
      </c>
      <c r="B155" s="46" t="s">
        <v>538</v>
      </c>
      <c r="C155" s="45" t="s">
        <v>243</v>
      </c>
      <c r="D155" s="45" t="s">
        <v>51</v>
      </c>
      <c r="E155" s="45">
        <v>90</v>
      </c>
      <c r="F155" s="45" t="s">
        <v>28</v>
      </c>
      <c r="G155" s="45" t="s">
        <v>122</v>
      </c>
      <c r="H155" s="45" t="s">
        <v>144</v>
      </c>
      <c r="M155" s="42"/>
      <c r="N155" s="42"/>
      <c r="O155" s="42"/>
    </row>
    <row r="156" spans="1:15" x14ac:dyDescent="0.3">
      <c r="A156" s="45" t="s">
        <v>539</v>
      </c>
      <c r="B156" s="46" t="s">
        <v>540</v>
      </c>
      <c r="C156" s="45" t="s">
        <v>243</v>
      </c>
      <c r="D156" s="45" t="s">
        <v>51</v>
      </c>
      <c r="E156" s="45">
        <v>91</v>
      </c>
      <c r="F156" s="45" t="s">
        <v>28</v>
      </c>
      <c r="G156" s="45" t="s">
        <v>38</v>
      </c>
      <c r="H156" s="45" t="s">
        <v>144</v>
      </c>
      <c r="M156" s="42"/>
      <c r="N156" s="42"/>
      <c r="O156" s="42"/>
    </row>
    <row r="157" spans="1:15" x14ac:dyDescent="0.3">
      <c r="A157" s="45" t="s">
        <v>541</v>
      </c>
      <c r="B157" s="46" t="s">
        <v>542</v>
      </c>
      <c r="C157" s="45" t="s">
        <v>243</v>
      </c>
      <c r="D157" s="45" t="s">
        <v>51</v>
      </c>
      <c r="E157" s="45">
        <v>92</v>
      </c>
      <c r="F157" s="45" t="s">
        <v>28</v>
      </c>
      <c r="G157" s="45" t="s">
        <v>113</v>
      </c>
      <c r="H157" s="45" t="s">
        <v>144</v>
      </c>
      <c r="M157" s="42"/>
      <c r="N157" s="42"/>
      <c r="O157" s="42"/>
    </row>
    <row r="158" spans="1:15" x14ac:dyDescent="0.3">
      <c r="A158" s="45" t="s">
        <v>543</v>
      </c>
      <c r="B158" s="46" t="s">
        <v>544</v>
      </c>
      <c r="C158" s="45" t="s">
        <v>243</v>
      </c>
      <c r="D158" s="45" t="s">
        <v>51</v>
      </c>
      <c r="E158" s="45">
        <v>93</v>
      </c>
      <c r="F158" s="45" t="s">
        <v>28</v>
      </c>
      <c r="G158" s="45" t="s">
        <v>100</v>
      </c>
      <c r="H158" s="45" t="s">
        <v>144</v>
      </c>
      <c r="M158" s="42"/>
      <c r="N158" s="42"/>
      <c r="O158" s="42"/>
    </row>
    <row r="159" spans="1:15" x14ac:dyDescent="0.3">
      <c r="A159" s="45" t="s">
        <v>545</v>
      </c>
      <c r="B159" s="46" t="s">
        <v>546</v>
      </c>
      <c r="C159" s="45" t="s">
        <v>243</v>
      </c>
      <c r="D159" s="45" t="s">
        <v>51</v>
      </c>
      <c r="E159" s="45">
        <v>93</v>
      </c>
      <c r="F159" s="45" t="s">
        <v>28</v>
      </c>
      <c r="G159" s="45" t="s">
        <v>100</v>
      </c>
      <c r="H159" s="45" t="s">
        <v>144</v>
      </c>
      <c r="M159" s="42"/>
      <c r="N159" s="42"/>
      <c r="O159" s="42"/>
    </row>
    <row r="160" spans="1:15" x14ac:dyDescent="0.3">
      <c r="A160" s="45" t="s">
        <v>547</v>
      </c>
      <c r="B160" s="46" t="s">
        <v>548</v>
      </c>
      <c r="C160" s="45" t="s">
        <v>243</v>
      </c>
      <c r="D160" s="45" t="s">
        <v>51</v>
      </c>
      <c r="E160" s="45">
        <v>94</v>
      </c>
      <c r="F160" s="45" t="s">
        <v>28</v>
      </c>
      <c r="G160" s="45" t="s">
        <v>122</v>
      </c>
      <c r="H160" s="45" t="s">
        <v>144</v>
      </c>
      <c r="M160" s="42"/>
      <c r="N160" s="42"/>
      <c r="O160" s="42"/>
    </row>
    <row r="161" spans="1:15" x14ac:dyDescent="0.3">
      <c r="A161" s="45" t="s">
        <v>549</v>
      </c>
      <c r="B161" s="46" t="s">
        <v>550</v>
      </c>
      <c r="C161" s="45" t="s">
        <v>243</v>
      </c>
      <c r="D161" s="45" t="s">
        <v>51</v>
      </c>
      <c r="E161" s="45">
        <v>94</v>
      </c>
      <c r="F161" s="45" t="s">
        <v>28</v>
      </c>
      <c r="G161" s="45" t="s">
        <v>122</v>
      </c>
      <c r="H161" s="45" t="s">
        <v>144</v>
      </c>
      <c r="M161" s="42"/>
      <c r="N161" s="42"/>
      <c r="O161" s="42"/>
    </row>
    <row r="162" spans="1:15" x14ac:dyDescent="0.3">
      <c r="A162" s="45" t="s">
        <v>551</v>
      </c>
      <c r="B162" s="46" t="s">
        <v>552</v>
      </c>
      <c r="C162" s="45" t="s">
        <v>243</v>
      </c>
      <c r="D162" s="45" t="s">
        <v>51</v>
      </c>
      <c r="E162" s="45">
        <v>94</v>
      </c>
      <c r="F162" s="45" t="s">
        <v>28</v>
      </c>
      <c r="G162" s="45" t="s">
        <v>122</v>
      </c>
      <c r="H162" s="45" t="s">
        <v>144</v>
      </c>
      <c r="M162" s="42"/>
      <c r="N162" s="42"/>
      <c r="O162" s="42"/>
    </row>
    <row r="163" spans="1:15" x14ac:dyDescent="0.3">
      <c r="A163" s="45" t="s">
        <v>553</v>
      </c>
      <c r="B163" s="46" t="s">
        <v>554</v>
      </c>
      <c r="C163" s="45" t="s">
        <v>243</v>
      </c>
      <c r="D163" s="45" t="s">
        <v>51</v>
      </c>
      <c r="E163" s="45">
        <v>94</v>
      </c>
      <c r="F163" s="45" t="s">
        <v>28</v>
      </c>
      <c r="G163" s="45" t="s">
        <v>122</v>
      </c>
      <c r="H163" s="45" t="s">
        <v>144</v>
      </c>
      <c r="M163" s="42"/>
      <c r="N163" s="42"/>
      <c r="O163" s="42"/>
    </row>
    <row r="164" spans="1:15" x14ac:dyDescent="0.3">
      <c r="A164" s="45" t="s">
        <v>555</v>
      </c>
      <c r="B164" s="46" t="s">
        <v>556</v>
      </c>
      <c r="C164" s="45" t="s">
        <v>243</v>
      </c>
      <c r="D164" s="45" t="s">
        <v>51</v>
      </c>
      <c r="E164" s="45">
        <v>94</v>
      </c>
      <c r="F164" s="45" t="s">
        <v>28</v>
      </c>
      <c r="G164" s="45" t="s">
        <v>122</v>
      </c>
      <c r="H164" s="45" t="s">
        <v>144</v>
      </c>
      <c r="M164" s="42"/>
      <c r="N164" s="42"/>
      <c r="O164" s="42"/>
    </row>
    <row r="165" spans="1:15" x14ac:dyDescent="0.3">
      <c r="A165" s="45" t="s">
        <v>557</v>
      </c>
      <c r="B165" s="46" t="s">
        <v>558</v>
      </c>
      <c r="C165" s="45" t="s">
        <v>243</v>
      </c>
      <c r="D165" s="45" t="s">
        <v>51</v>
      </c>
      <c r="E165" s="45">
        <v>94</v>
      </c>
      <c r="F165" s="45" t="s">
        <v>28</v>
      </c>
      <c r="G165" s="45" t="s">
        <v>122</v>
      </c>
      <c r="H165" s="45" t="s">
        <v>144</v>
      </c>
      <c r="M165" s="42"/>
      <c r="N165" s="42"/>
      <c r="O165" s="42"/>
    </row>
    <row r="166" spans="1:15" x14ac:dyDescent="0.3">
      <c r="A166" s="45" t="s">
        <v>559</v>
      </c>
      <c r="B166" s="46" t="s">
        <v>560</v>
      </c>
      <c r="C166" s="45" t="s">
        <v>243</v>
      </c>
      <c r="D166" s="45" t="s">
        <v>51</v>
      </c>
      <c r="E166" s="45">
        <v>94</v>
      </c>
      <c r="F166" s="45" t="s">
        <v>28</v>
      </c>
      <c r="G166" s="45" t="s">
        <v>122</v>
      </c>
      <c r="H166" s="45" t="s">
        <v>144</v>
      </c>
      <c r="M166" s="42"/>
      <c r="N166" s="42"/>
      <c r="O166" s="42"/>
    </row>
    <row r="167" spans="1:15" x14ac:dyDescent="0.3">
      <c r="A167" s="45" t="s">
        <v>561</v>
      </c>
      <c r="B167" s="46" t="s">
        <v>562</v>
      </c>
      <c r="C167" s="45" t="s">
        <v>243</v>
      </c>
      <c r="D167" s="45" t="s">
        <v>51</v>
      </c>
      <c r="E167" s="45">
        <v>94</v>
      </c>
      <c r="F167" s="45" t="s">
        <v>28</v>
      </c>
      <c r="G167" s="45" t="s">
        <v>122</v>
      </c>
      <c r="H167" s="45" t="s">
        <v>144</v>
      </c>
      <c r="M167" s="42"/>
      <c r="N167" s="42"/>
      <c r="O167" s="42"/>
    </row>
    <row r="168" spans="1:15" x14ac:dyDescent="0.3">
      <c r="A168" s="45" t="s">
        <v>563</v>
      </c>
      <c r="B168" s="46" t="s">
        <v>564</v>
      </c>
      <c r="C168" s="45" t="s">
        <v>243</v>
      </c>
      <c r="D168" s="45" t="s">
        <v>51</v>
      </c>
      <c r="E168" s="45">
        <v>94</v>
      </c>
      <c r="F168" s="45" t="s">
        <v>28</v>
      </c>
      <c r="G168" s="45" t="s">
        <v>122</v>
      </c>
      <c r="H168" s="45" t="s">
        <v>144</v>
      </c>
      <c r="M168" s="42"/>
      <c r="N168" s="42"/>
      <c r="O168" s="42"/>
    </row>
    <row r="169" spans="1:15" x14ac:dyDescent="0.3">
      <c r="A169" s="45" t="s">
        <v>565</v>
      </c>
      <c r="B169" s="46" t="s">
        <v>566</v>
      </c>
      <c r="C169" s="45" t="s">
        <v>243</v>
      </c>
      <c r="D169" s="45" t="s">
        <v>51</v>
      </c>
      <c r="E169" s="45">
        <v>95</v>
      </c>
      <c r="F169" s="45" t="s">
        <v>28</v>
      </c>
      <c r="G169" s="45" t="s">
        <v>113</v>
      </c>
      <c r="H169" s="45" t="s">
        <v>144</v>
      </c>
      <c r="M169" s="42"/>
      <c r="N169" s="42"/>
      <c r="O169" s="42"/>
    </row>
    <row r="170" spans="1:15" x14ac:dyDescent="0.3">
      <c r="A170" s="45" t="s">
        <v>517</v>
      </c>
      <c r="B170" s="46" t="s">
        <v>518</v>
      </c>
      <c r="C170" s="45" t="s">
        <v>243</v>
      </c>
      <c r="D170" s="45" t="s">
        <v>51</v>
      </c>
      <c r="E170" s="45">
        <v>96</v>
      </c>
      <c r="F170" s="45" t="s">
        <v>28</v>
      </c>
      <c r="G170" s="45" t="s">
        <v>107</v>
      </c>
      <c r="H170" s="45" t="s">
        <v>144</v>
      </c>
      <c r="M170" s="42"/>
      <c r="N170" s="42"/>
      <c r="O170" s="42"/>
    </row>
    <row r="171" spans="1:15" x14ac:dyDescent="0.3">
      <c r="A171" s="45" t="s">
        <v>567</v>
      </c>
      <c r="B171" s="46" t="s">
        <v>568</v>
      </c>
      <c r="C171" s="45" t="s">
        <v>243</v>
      </c>
      <c r="D171" s="45" t="s">
        <v>51</v>
      </c>
      <c r="E171" s="45">
        <v>97</v>
      </c>
      <c r="F171" s="45" t="s">
        <v>28</v>
      </c>
      <c r="G171" s="45" t="s">
        <v>118</v>
      </c>
      <c r="H171" s="45" t="s">
        <v>144</v>
      </c>
      <c r="M171" s="42"/>
      <c r="N171" s="42"/>
      <c r="O171" s="42"/>
    </row>
    <row r="172" spans="1:15" x14ac:dyDescent="0.3">
      <c r="A172" s="45" t="s">
        <v>569</v>
      </c>
      <c r="B172" s="46" t="s">
        <v>570</v>
      </c>
      <c r="C172" s="45" t="s">
        <v>243</v>
      </c>
      <c r="D172" s="45" t="s">
        <v>51</v>
      </c>
      <c r="E172" s="45">
        <v>97</v>
      </c>
      <c r="F172" s="45" t="s">
        <v>28</v>
      </c>
      <c r="G172" s="45" t="s">
        <v>118</v>
      </c>
      <c r="H172" s="45" t="s">
        <v>144</v>
      </c>
      <c r="M172" s="42"/>
      <c r="N172" s="42"/>
      <c r="O172" s="42"/>
    </row>
    <row r="173" spans="1:15" x14ac:dyDescent="0.3">
      <c r="A173" s="45" t="s">
        <v>571</v>
      </c>
      <c r="B173" s="46" t="s">
        <v>572</v>
      </c>
      <c r="C173" s="45" t="s">
        <v>243</v>
      </c>
      <c r="D173" s="45" t="s">
        <v>51</v>
      </c>
      <c r="E173" s="45">
        <v>98</v>
      </c>
      <c r="F173" s="45" t="s">
        <v>28</v>
      </c>
      <c r="G173" s="45" t="s">
        <v>50</v>
      </c>
      <c r="H173" s="45" t="s">
        <v>144</v>
      </c>
      <c r="M173" s="42"/>
      <c r="N173" s="42"/>
      <c r="O173" s="42"/>
    </row>
    <row r="174" spans="1:15" x14ac:dyDescent="0.3">
      <c r="A174" s="45" t="s">
        <v>573</v>
      </c>
      <c r="B174" s="46" t="s">
        <v>574</v>
      </c>
      <c r="C174" s="45" t="s">
        <v>243</v>
      </c>
      <c r="D174" s="45" t="s">
        <v>51</v>
      </c>
      <c r="E174" s="45">
        <v>98</v>
      </c>
      <c r="F174" s="45" t="s">
        <v>28</v>
      </c>
      <c r="G174" s="45" t="s">
        <v>50</v>
      </c>
      <c r="H174" s="45" t="s">
        <v>144</v>
      </c>
      <c r="M174" s="42"/>
      <c r="N174" s="42"/>
      <c r="O174" s="42"/>
    </row>
    <row r="175" spans="1:15" x14ac:dyDescent="0.3">
      <c r="A175" s="45" t="s">
        <v>575</v>
      </c>
      <c r="B175" s="46" t="s">
        <v>576</v>
      </c>
      <c r="C175" s="45" t="s">
        <v>243</v>
      </c>
      <c r="D175" s="45" t="s">
        <v>51</v>
      </c>
      <c r="E175" s="45">
        <v>98</v>
      </c>
      <c r="F175" s="45" t="s">
        <v>28</v>
      </c>
      <c r="G175" s="45" t="s">
        <v>50</v>
      </c>
      <c r="H175" s="45" t="s">
        <v>144</v>
      </c>
      <c r="M175" s="42"/>
      <c r="N175" s="42"/>
      <c r="O175" s="42"/>
    </row>
    <row r="176" spans="1:15" x14ac:dyDescent="0.3">
      <c r="A176" s="45" t="s">
        <v>577</v>
      </c>
      <c r="B176" s="46" t="s">
        <v>578</v>
      </c>
      <c r="C176" s="45" t="s">
        <v>243</v>
      </c>
      <c r="D176" s="45" t="s">
        <v>51</v>
      </c>
      <c r="E176" s="45">
        <v>98</v>
      </c>
      <c r="F176" s="45" t="s">
        <v>28</v>
      </c>
      <c r="G176" s="45" t="s">
        <v>50</v>
      </c>
      <c r="H176" s="30" t="s">
        <v>144</v>
      </c>
      <c r="M176" s="42"/>
      <c r="N176" s="42"/>
      <c r="O176" s="42"/>
    </row>
    <row r="177" spans="1:15" x14ac:dyDescent="0.3">
      <c r="A177" s="45" t="s">
        <v>579</v>
      </c>
      <c r="B177" s="46" t="s">
        <v>580</v>
      </c>
      <c r="C177" s="45" t="s">
        <v>243</v>
      </c>
      <c r="D177" s="45" t="s">
        <v>51</v>
      </c>
      <c r="E177" s="45">
        <v>99</v>
      </c>
      <c r="F177" s="45" t="s">
        <v>28</v>
      </c>
      <c r="G177" s="45" t="s">
        <v>103</v>
      </c>
      <c r="H177" s="45" t="s">
        <v>144</v>
      </c>
      <c r="M177" s="42"/>
      <c r="N177" s="42"/>
      <c r="O177" s="55"/>
    </row>
    <row r="178" spans="1:15" x14ac:dyDescent="0.3">
      <c r="A178" s="45" t="s">
        <v>581</v>
      </c>
      <c r="B178" s="46" t="s">
        <v>582</v>
      </c>
      <c r="C178" s="45" t="s">
        <v>243</v>
      </c>
      <c r="D178" s="45" t="s">
        <v>51</v>
      </c>
      <c r="E178" s="45">
        <v>100</v>
      </c>
      <c r="F178" s="45" t="s">
        <v>28</v>
      </c>
      <c r="G178" s="45" t="s">
        <v>42</v>
      </c>
      <c r="H178" s="45" t="s">
        <v>144</v>
      </c>
      <c r="M178" s="42"/>
      <c r="N178" s="42"/>
      <c r="O178" s="55"/>
    </row>
    <row r="179" spans="1:15" x14ac:dyDescent="0.3">
      <c r="A179" s="45" t="s">
        <v>583</v>
      </c>
      <c r="B179" s="46" t="s">
        <v>584</v>
      </c>
      <c r="C179" s="45" t="s">
        <v>243</v>
      </c>
      <c r="D179" s="45" t="s">
        <v>51</v>
      </c>
      <c r="E179" s="45">
        <v>101</v>
      </c>
      <c r="F179" s="45" t="s">
        <v>28</v>
      </c>
      <c r="G179" s="45" t="s">
        <v>103</v>
      </c>
      <c r="H179" s="45" t="s">
        <v>144</v>
      </c>
      <c r="M179" s="42"/>
      <c r="N179" s="42"/>
      <c r="O179" s="55"/>
    </row>
    <row r="180" spans="1:15" x14ac:dyDescent="0.3">
      <c r="A180" s="45" t="s">
        <v>585</v>
      </c>
      <c r="B180" s="46" t="s">
        <v>586</v>
      </c>
      <c r="C180" s="45" t="s">
        <v>243</v>
      </c>
      <c r="D180" s="45" t="s">
        <v>51</v>
      </c>
      <c r="E180" s="45">
        <v>101</v>
      </c>
      <c r="F180" s="45" t="s">
        <v>28</v>
      </c>
      <c r="G180" s="45" t="s">
        <v>103</v>
      </c>
      <c r="H180" s="45" t="s">
        <v>144</v>
      </c>
      <c r="M180" s="42"/>
      <c r="N180" s="42"/>
      <c r="O180" s="55"/>
    </row>
    <row r="181" spans="1:15" x14ac:dyDescent="0.3">
      <c r="A181" s="45" t="s">
        <v>587</v>
      </c>
      <c r="B181" s="46" t="s">
        <v>588</v>
      </c>
      <c r="C181" s="45" t="s">
        <v>243</v>
      </c>
      <c r="D181" s="45" t="s">
        <v>51</v>
      </c>
      <c r="E181" s="45">
        <v>102</v>
      </c>
      <c r="F181" s="45" t="s">
        <v>28</v>
      </c>
      <c r="G181" s="45" t="s">
        <v>108</v>
      </c>
      <c r="H181" s="45" t="s">
        <v>144</v>
      </c>
      <c r="M181" s="42"/>
      <c r="N181" s="42"/>
      <c r="O181" s="55"/>
    </row>
    <row r="182" spans="1:15" x14ac:dyDescent="0.3">
      <c r="A182" s="45" t="s">
        <v>589</v>
      </c>
      <c r="B182" s="46" t="s">
        <v>590</v>
      </c>
      <c r="C182" s="45" t="s">
        <v>243</v>
      </c>
      <c r="D182" s="45" t="s">
        <v>51</v>
      </c>
      <c r="E182" s="45">
        <v>103</v>
      </c>
      <c r="F182" s="45" t="s">
        <v>28</v>
      </c>
      <c r="G182" s="45" t="s">
        <v>42</v>
      </c>
      <c r="H182" s="45" t="s">
        <v>144</v>
      </c>
      <c r="M182" s="42"/>
      <c r="N182" s="42"/>
      <c r="O182" s="55"/>
    </row>
    <row r="183" spans="1:15" x14ac:dyDescent="0.3">
      <c r="A183" s="45" t="s">
        <v>591</v>
      </c>
      <c r="B183" s="46" t="s">
        <v>592</v>
      </c>
      <c r="C183" s="45" t="s">
        <v>243</v>
      </c>
      <c r="D183" s="45" t="s">
        <v>51</v>
      </c>
      <c r="E183" s="45">
        <v>103</v>
      </c>
      <c r="F183" s="45" t="s">
        <v>28</v>
      </c>
      <c r="G183" s="45" t="s">
        <v>42</v>
      </c>
      <c r="H183" s="45" t="s">
        <v>144</v>
      </c>
      <c r="M183" s="42"/>
      <c r="N183" s="42"/>
      <c r="O183" s="55"/>
    </row>
    <row r="184" spans="1:15" x14ac:dyDescent="0.3">
      <c r="A184" s="45" t="s">
        <v>593</v>
      </c>
      <c r="B184" s="46" t="s">
        <v>594</v>
      </c>
      <c r="C184" s="45" t="s">
        <v>243</v>
      </c>
      <c r="D184" s="45" t="s">
        <v>51</v>
      </c>
      <c r="E184" s="45">
        <v>104</v>
      </c>
      <c r="F184" s="45" t="s">
        <v>28</v>
      </c>
      <c r="G184" s="45" t="s">
        <v>113</v>
      </c>
      <c r="H184" s="45" t="s">
        <v>144</v>
      </c>
      <c r="M184" s="42"/>
      <c r="N184" s="42"/>
      <c r="O184" s="55"/>
    </row>
    <row r="185" spans="1:15" x14ac:dyDescent="0.3">
      <c r="A185" s="45" t="s">
        <v>595</v>
      </c>
      <c r="B185" s="46" t="s">
        <v>596</v>
      </c>
      <c r="C185" s="45" t="s">
        <v>243</v>
      </c>
      <c r="D185" s="45" t="s">
        <v>51</v>
      </c>
      <c r="E185" s="45">
        <v>105</v>
      </c>
      <c r="F185" s="45" t="s">
        <v>28</v>
      </c>
      <c r="G185" s="45" t="s">
        <v>158</v>
      </c>
      <c r="H185" s="45" t="s">
        <v>144</v>
      </c>
      <c r="M185" s="42"/>
      <c r="N185" s="42"/>
      <c r="O185" s="55"/>
    </row>
    <row r="186" spans="1:15" x14ac:dyDescent="0.3">
      <c r="A186" s="45" t="s">
        <v>597</v>
      </c>
      <c r="B186" s="46" t="s">
        <v>598</v>
      </c>
      <c r="C186" s="45" t="s">
        <v>243</v>
      </c>
      <c r="D186" s="45" t="s">
        <v>51</v>
      </c>
      <c r="E186" s="45">
        <v>105</v>
      </c>
      <c r="F186" s="45" t="s">
        <v>28</v>
      </c>
      <c r="G186" s="45" t="s">
        <v>158</v>
      </c>
      <c r="H186" s="45" t="s">
        <v>144</v>
      </c>
      <c r="M186" s="42"/>
      <c r="N186" s="42"/>
      <c r="O186" s="55"/>
    </row>
    <row r="187" spans="1:15" x14ac:dyDescent="0.3">
      <c r="A187" s="45" t="s">
        <v>599</v>
      </c>
      <c r="B187" s="46" t="s">
        <v>600</v>
      </c>
      <c r="C187" s="45" t="s">
        <v>243</v>
      </c>
      <c r="D187" s="45" t="s">
        <v>51</v>
      </c>
      <c r="E187" s="45">
        <v>105</v>
      </c>
      <c r="F187" s="45" t="s">
        <v>28</v>
      </c>
      <c r="G187" s="45" t="s">
        <v>158</v>
      </c>
      <c r="H187" s="45" t="s">
        <v>144</v>
      </c>
      <c r="M187" s="42"/>
      <c r="N187" s="42"/>
      <c r="O187" s="55"/>
    </row>
    <row r="188" spans="1:15" x14ac:dyDescent="0.3">
      <c r="A188" s="45" t="s">
        <v>601</v>
      </c>
      <c r="B188" s="46" t="s">
        <v>602</v>
      </c>
      <c r="C188" s="45" t="s">
        <v>243</v>
      </c>
      <c r="D188" s="45" t="s">
        <v>51</v>
      </c>
      <c r="E188" s="45">
        <v>105</v>
      </c>
      <c r="F188" s="45" t="s">
        <v>28</v>
      </c>
      <c r="G188" s="45" t="s">
        <v>158</v>
      </c>
      <c r="H188" s="45" t="s">
        <v>144</v>
      </c>
      <c r="M188" s="42"/>
      <c r="N188" s="42"/>
      <c r="O188" s="55"/>
    </row>
    <row r="189" spans="1:15" x14ac:dyDescent="0.3">
      <c r="A189" s="45" t="s">
        <v>603</v>
      </c>
      <c r="B189" s="46" t="s">
        <v>604</v>
      </c>
      <c r="C189" s="45" t="s">
        <v>243</v>
      </c>
      <c r="D189" s="45" t="s">
        <v>51</v>
      </c>
      <c r="E189" s="45">
        <v>105</v>
      </c>
      <c r="F189" s="45" t="s">
        <v>28</v>
      </c>
      <c r="G189" s="45" t="s">
        <v>158</v>
      </c>
      <c r="H189" s="45" t="s">
        <v>144</v>
      </c>
      <c r="M189" s="42"/>
      <c r="N189" s="42"/>
      <c r="O189" s="55"/>
    </row>
    <row r="190" spans="1:15" x14ac:dyDescent="0.3">
      <c r="A190" s="45" t="s">
        <v>605</v>
      </c>
      <c r="B190" s="46" t="s">
        <v>606</v>
      </c>
      <c r="C190" s="45" t="s">
        <v>243</v>
      </c>
      <c r="D190" s="45" t="s">
        <v>51</v>
      </c>
      <c r="E190" s="45">
        <v>105</v>
      </c>
      <c r="F190" s="45" t="s">
        <v>28</v>
      </c>
      <c r="G190" s="45" t="s">
        <v>158</v>
      </c>
      <c r="H190" s="45" t="s">
        <v>144</v>
      </c>
      <c r="M190" s="42"/>
      <c r="N190" s="42"/>
      <c r="O190" s="55"/>
    </row>
    <row r="191" spans="1:15" x14ac:dyDescent="0.3">
      <c r="A191" s="45" t="s">
        <v>607</v>
      </c>
      <c r="B191" s="46" t="s">
        <v>608</v>
      </c>
      <c r="C191" s="45" t="s">
        <v>243</v>
      </c>
      <c r="D191" s="45" t="s">
        <v>51</v>
      </c>
      <c r="E191" s="45">
        <v>106</v>
      </c>
      <c r="F191" s="45" t="s">
        <v>28</v>
      </c>
      <c r="G191" s="45" t="s">
        <v>117</v>
      </c>
      <c r="H191" s="45" t="s">
        <v>144</v>
      </c>
      <c r="M191" s="42"/>
      <c r="N191" s="42"/>
      <c r="O191" s="55"/>
    </row>
    <row r="192" spans="1:15" x14ac:dyDescent="0.3">
      <c r="A192" s="45" t="s">
        <v>609</v>
      </c>
      <c r="B192" s="46" t="s">
        <v>610</v>
      </c>
      <c r="C192" s="45" t="s">
        <v>243</v>
      </c>
      <c r="D192" s="45" t="s">
        <v>51</v>
      </c>
      <c r="E192" s="45">
        <v>107</v>
      </c>
      <c r="F192" s="45" t="s">
        <v>28</v>
      </c>
      <c r="G192" s="45" t="s">
        <v>158</v>
      </c>
      <c r="H192" s="45" t="s">
        <v>144</v>
      </c>
      <c r="M192" s="42"/>
      <c r="N192" s="42"/>
      <c r="O192" s="55"/>
    </row>
    <row r="193" spans="1:15" x14ac:dyDescent="0.3">
      <c r="A193" s="45" t="s">
        <v>611</v>
      </c>
      <c r="B193" s="46" t="s">
        <v>612</v>
      </c>
      <c r="C193" s="45" t="s">
        <v>243</v>
      </c>
      <c r="D193" s="45" t="s">
        <v>51</v>
      </c>
      <c r="E193" s="45">
        <v>107</v>
      </c>
      <c r="F193" s="45" t="s">
        <v>28</v>
      </c>
      <c r="G193" s="45" t="s">
        <v>158</v>
      </c>
      <c r="H193" s="45" t="s">
        <v>144</v>
      </c>
      <c r="M193" s="42"/>
      <c r="N193" s="42"/>
      <c r="O193" s="55"/>
    </row>
    <row r="194" spans="1:15" x14ac:dyDescent="0.3">
      <c r="A194" s="45" t="s">
        <v>613</v>
      </c>
      <c r="B194" s="46" t="s">
        <v>614</v>
      </c>
      <c r="C194" s="45" t="s">
        <v>243</v>
      </c>
      <c r="D194" s="45" t="s">
        <v>51</v>
      </c>
      <c r="E194" s="45">
        <v>107</v>
      </c>
      <c r="F194" s="45" t="s">
        <v>28</v>
      </c>
      <c r="G194" s="45" t="s">
        <v>158</v>
      </c>
      <c r="H194" s="45" t="s">
        <v>144</v>
      </c>
      <c r="M194" s="42"/>
      <c r="N194" s="42"/>
      <c r="O194" s="55"/>
    </row>
    <row r="195" spans="1:15" x14ac:dyDescent="0.3">
      <c r="A195" s="45" t="s">
        <v>615</v>
      </c>
      <c r="B195" s="46" t="s">
        <v>616</v>
      </c>
      <c r="C195" s="45" t="s">
        <v>243</v>
      </c>
      <c r="D195" s="45" t="s">
        <v>51</v>
      </c>
      <c r="E195" s="45">
        <v>107</v>
      </c>
      <c r="F195" s="45" t="s">
        <v>28</v>
      </c>
      <c r="G195" s="45" t="s">
        <v>158</v>
      </c>
      <c r="H195" s="45" t="s">
        <v>144</v>
      </c>
      <c r="M195" s="42"/>
      <c r="N195" s="42"/>
      <c r="O195" s="55"/>
    </row>
    <row r="196" spans="1:15" x14ac:dyDescent="0.3">
      <c r="A196" s="45" t="s">
        <v>617</v>
      </c>
      <c r="B196" s="46" t="s">
        <v>618</v>
      </c>
      <c r="C196" s="45" t="s">
        <v>243</v>
      </c>
      <c r="D196" s="45" t="s">
        <v>51</v>
      </c>
      <c r="E196" s="45">
        <v>107</v>
      </c>
      <c r="F196" s="45" t="s">
        <v>28</v>
      </c>
      <c r="G196" s="45" t="s">
        <v>158</v>
      </c>
      <c r="H196" s="45" t="s">
        <v>144</v>
      </c>
      <c r="M196" s="42"/>
      <c r="N196" s="42"/>
      <c r="O196" s="55"/>
    </row>
    <row r="197" spans="1:15" x14ac:dyDescent="0.3">
      <c r="A197" s="45" t="s">
        <v>619</v>
      </c>
      <c r="B197" s="46" t="s">
        <v>620</v>
      </c>
      <c r="C197" s="45" t="s">
        <v>243</v>
      </c>
      <c r="D197" s="45" t="s">
        <v>51</v>
      </c>
      <c r="E197" s="45">
        <v>107</v>
      </c>
      <c r="F197" s="45" t="s">
        <v>28</v>
      </c>
      <c r="G197" s="45" t="s">
        <v>158</v>
      </c>
      <c r="H197" s="45" t="s">
        <v>144</v>
      </c>
      <c r="M197" s="42"/>
      <c r="N197" s="42"/>
      <c r="O197" s="55"/>
    </row>
    <row r="198" spans="1:15" x14ac:dyDescent="0.3">
      <c r="A198" s="45" t="s">
        <v>621</v>
      </c>
      <c r="B198" s="46" t="s">
        <v>622</v>
      </c>
      <c r="C198" s="45" t="s">
        <v>243</v>
      </c>
      <c r="D198" s="45" t="s">
        <v>51</v>
      </c>
      <c r="E198" s="45">
        <v>107</v>
      </c>
      <c r="F198" s="45" t="s">
        <v>28</v>
      </c>
      <c r="G198" s="45" t="s">
        <v>158</v>
      </c>
      <c r="H198" s="45" t="s">
        <v>144</v>
      </c>
      <c r="M198" s="42"/>
      <c r="N198" s="42"/>
      <c r="O198" s="55"/>
    </row>
    <row r="199" spans="1:15" x14ac:dyDescent="0.3">
      <c r="A199" s="45" t="s">
        <v>623</v>
      </c>
      <c r="B199" s="46" t="s">
        <v>624</v>
      </c>
      <c r="C199" s="45" t="s">
        <v>243</v>
      </c>
      <c r="D199" s="45" t="s">
        <v>51</v>
      </c>
      <c r="E199" s="45">
        <v>107</v>
      </c>
      <c r="F199" s="45" t="s">
        <v>28</v>
      </c>
      <c r="G199" s="45" t="s">
        <v>158</v>
      </c>
      <c r="H199" s="45" t="s">
        <v>144</v>
      </c>
      <c r="M199" s="42"/>
      <c r="N199" s="42"/>
      <c r="O199" s="55"/>
    </row>
    <row r="200" spans="1:15" x14ac:dyDescent="0.3">
      <c r="A200" s="45" t="s">
        <v>625</v>
      </c>
      <c r="B200" s="46" t="s">
        <v>626</v>
      </c>
      <c r="C200" s="45" t="s">
        <v>243</v>
      </c>
      <c r="D200" s="45" t="s">
        <v>51</v>
      </c>
      <c r="E200" s="45">
        <v>107</v>
      </c>
      <c r="F200" s="45" t="s">
        <v>28</v>
      </c>
      <c r="G200" s="45" t="s">
        <v>158</v>
      </c>
      <c r="H200" s="45" t="s">
        <v>144</v>
      </c>
      <c r="M200" s="42"/>
      <c r="N200" s="42"/>
      <c r="O200" s="55"/>
    </row>
    <row r="201" spans="1:15" x14ac:dyDescent="0.3">
      <c r="A201" s="45" t="s">
        <v>627</v>
      </c>
      <c r="B201" s="46" t="s">
        <v>628</v>
      </c>
      <c r="C201" s="45" t="s">
        <v>243</v>
      </c>
      <c r="D201" s="45" t="s">
        <v>51</v>
      </c>
      <c r="E201" s="45">
        <v>107</v>
      </c>
      <c r="F201" s="45" t="s">
        <v>28</v>
      </c>
      <c r="G201" s="45" t="s">
        <v>158</v>
      </c>
      <c r="H201" s="45" t="s">
        <v>144</v>
      </c>
      <c r="M201" s="42"/>
      <c r="N201" s="42"/>
      <c r="O201" s="55"/>
    </row>
    <row r="202" spans="1:15" x14ac:dyDescent="0.3">
      <c r="A202" s="45" t="s">
        <v>629</v>
      </c>
      <c r="B202" s="46" t="s">
        <v>630</v>
      </c>
      <c r="C202" s="45" t="s">
        <v>243</v>
      </c>
      <c r="D202" s="45" t="s">
        <v>51</v>
      </c>
      <c r="E202" s="45">
        <v>108</v>
      </c>
      <c r="F202" s="45" t="s">
        <v>28</v>
      </c>
      <c r="G202" s="45" t="s">
        <v>158</v>
      </c>
      <c r="H202" s="45" t="s">
        <v>144</v>
      </c>
      <c r="M202" s="42"/>
      <c r="N202" s="42"/>
      <c r="O202" s="55"/>
    </row>
    <row r="203" spans="1:15" x14ac:dyDescent="0.3">
      <c r="A203" s="45" t="s">
        <v>631</v>
      </c>
      <c r="B203" s="46" t="s">
        <v>632</v>
      </c>
      <c r="C203" s="45" t="s">
        <v>243</v>
      </c>
      <c r="D203" s="45" t="s">
        <v>51</v>
      </c>
      <c r="E203" s="45">
        <v>108</v>
      </c>
      <c r="F203" s="45" t="s">
        <v>28</v>
      </c>
      <c r="G203" s="45" t="s">
        <v>158</v>
      </c>
      <c r="H203" s="45" t="s">
        <v>144</v>
      </c>
      <c r="M203" s="42"/>
      <c r="N203" s="42"/>
      <c r="O203" s="55"/>
    </row>
    <row r="204" spans="1:15" x14ac:dyDescent="0.3">
      <c r="A204" s="45" t="s">
        <v>633</v>
      </c>
      <c r="B204" s="46" t="s">
        <v>634</v>
      </c>
      <c r="C204" s="45" t="s">
        <v>243</v>
      </c>
      <c r="D204" s="45" t="s">
        <v>51</v>
      </c>
      <c r="E204" s="45">
        <v>108</v>
      </c>
      <c r="F204" s="45" t="s">
        <v>28</v>
      </c>
      <c r="G204" s="45" t="s">
        <v>158</v>
      </c>
      <c r="H204" s="45" t="s">
        <v>144</v>
      </c>
      <c r="M204" s="42"/>
      <c r="N204" s="42"/>
      <c r="O204" s="55"/>
    </row>
    <row r="205" spans="1:15" x14ac:dyDescent="0.3">
      <c r="A205" s="45" t="s">
        <v>635</v>
      </c>
      <c r="B205" s="46" t="s">
        <v>636</v>
      </c>
      <c r="C205" s="45" t="s">
        <v>243</v>
      </c>
      <c r="D205" s="45" t="s">
        <v>51</v>
      </c>
      <c r="E205" s="45">
        <v>109</v>
      </c>
      <c r="F205" s="45" t="s">
        <v>28</v>
      </c>
      <c r="G205" s="45" t="s">
        <v>42</v>
      </c>
      <c r="H205" s="45" t="s">
        <v>144</v>
      </c>
      <c r="M205" s="42"/>
      <c r="N205" s="42"/>
      <c r="O205" s="55"/>
    </row>
    <row r="206" spans="1:15" x14ac:dyDescent="0.3">
      <c r="A206" s="45" t="s">
        <v>637</v>
      </c>
      <c r="B206" s="46" t="s">
        <v>638</v>
      </c>
      <c r="C206" s="45" t="s">
        <v>243</v>
      </c>
      <c r="D206" s="45" t="s">
        <v>51</v>
      </c>
      <c r="E206" s="45">
        <v>110</v>
      </c>
      <c r="F206" s="45" t="s">
        <v>28</v>
      </c>
      <c r="G206" s="45" t="s">
        <v>40</v>
      </c>
      <c r="H206" s="45" t="s">
        <v>144</v>
      </c>
      <c r="M206" s="42"/>
      <c r="N206" s="42"/>
      <c r="O206" s="55"/>
    </row>
    <row r="207" spans="1:15" x14ac:dyDescent="0.3">
      <c r="A207" s="45" t="s">
        <v>639</v>
      </c>
      <c r="B207" s="46" t="s">
        <v>640</v>
      </c>
      <c r="C207" s="45" t="s">
        <v>243</v>
      </c>
      <c r="D207" s="45" t="s">
        <v>51</v>
      </c>
      <c r="E207" s="45">
        <v>111</v>
      </c>
      <c r="F207" s="45" t="s">
        <v>28</v>
      </c>
      <c r="G207" s="45" t="s">
        <v>42</v>
      </c>
      <c r="H207" s="45" t="s">
        <v>144</v>
      </c>
      <c r="M207" s="42"/>
      <c r="N207" s="42"/>
      <c r="O207" s="55"/>
    </row>
    <row r="208" spans="1:15" x14ac:dyDescent="0.3">
      <c r="A208" s="45" t="s">
        <v>641</v>
      </c>
      <c r="B208" s="46" t="s">
        <v>642</v>
      </c>
      <c r="C208" s="45" t="s">
        <v>243</v>
      </c>
      <c r="D208" s="45" t="s">
        <v>51</v>
      </c>
      <c r="E208" s="45">
        <v>112</v>
      </c>
      <c r="F208" s="45" t="s">
        <v>28</v>
      </c>
      <c r="G208" s="45" t="s">
        <v>42</v>
      </c>
      <c r="H208" s="45" t="s">
        <v>144</v>
      </c>
      <c r="M208" s="42"/>
      <c r="N208" s="42"/>
      <c r="O208" s="55"/>
    </row>
    <row r="209" spans="1:15" hidden="1" x14ac:dyDescent="0.3">
      <c r="A209" s="45" t="s">
        <v>192</v>
      </c>
      <c r="B209" s="46" t="s">
        <v>193</v>
      </c>
      <c r="C209" s="45" t="s">
        <v>194</v>
      </c>
      <c r="D209" s="45" t="s">
        <v>94</v>
      </c>
      <c r="E209" s="45">
        <v>1</v>
      </c>
      <c r="F209" s="45" t="s">
        <v>28</v>
      </c>
      <c r="G209" s="45" t="s">
        <v>195</v>
      </c>
      <c r="H209" s="45" t="s">
        <v>144</v>
      </c>
      <c r="M209" s="42"/>
      <c r="N209" s="42"/>
      <c r="O209" s="55"/>
    </row>
    <row r="210" spans="1:15" hidden="1" x14ac:dyDescent="0.3">
      <c r="A210" s="45" t="s">
        <v>196</v>
      </c>
      <c r="B210" s="46" t="s">
        <v>197</v>
      </c>
      <c r="C210" s="45" t="s">
        <v>194</v>
      </c>
      <c r="D210" s="45" t="s">
        <v>94</v>
      </c>
      <c r="E210" s="45">
        <v>1</v>
      </c>
      <c r="F210" s="45" t="s">
        <v>28</v>
      </c>
      <c r="G210" s="45" t="s">
        <v>195</v>
      </c>
      <c r="H210" s="45" t="s">
        <v>144</v>
      </c>
      <c r="M210" s="42"/>
      <c r="N210" s="42"/>
      <c r="O210" s="55"/>
    </row>
    <row r="211" spans="1:15" hidden="1" x14ac:dyDescent="0.3">
      <c r="A211" s="45" t="s">
        <v>198</v>
      </c>
      <c r="B211" s="46" t="s">
        <v>199</v>
      </c>
      <c r="C211" s="45" t="s">
        <v>194</v>
      </c>
      <c r="D211" s="45" t="s">
        <v>94</v>
      </c>
      <c r="E211" s="45">
        <v>2</v>
      </c>
      <c r="F211" s="45" t="s">
        <v>28</v>
      </c>
      <c r="G211" s="45" t="s">
        <v>200</v>
      </c>
      <c r="H211" s="45" t="s">
        <v>144</v>
      </c>
      <c r="M211" s="42"/>
      <c r="N211" s="42"/>
      <c r="O211" s="55"/>
    </row>
    <row r="212" spans="1:15" hidden="1" x14ac:dyDescent="0.3">
      <c r="A212" s="45" t="s">
        <v>201</v>
      </c>
      <c r="B212" s="46" t="s">
        <v>202</v>
      </c>
      <c r="C212" s="45" t="s">
        <v>194</v>
      </c>
      <c r="D212" s="45" t="s">
        <v>94</v>
      </c>
      <c r="E212" s="45">
        <v>2</v>
      </c>
      <c r="F212" s="45" t="s">
        <v>28</v>
      </c>
      <c r="G212" s="45" t="s">
        <v>200</v>
      </c>
      <c r="H212" s="45" t="s">
        <v>144</v>
      </c>
      <c r="M212" s="42"/>
      <c r="N212" s="42"/>
      <c r="O212" s="55"/>
    </row>
    <row r="213" spans="1:15" hidden="1" x14ac:dyDescent="0.3">
      <c r="A213" s="45" t="s">
        <v>203</v>
      </c>
      <c r="B213" s="46" t="s">
        <v>204</v>
      </c>
      <c r="C213" s="45" t="s">
        <v>194</v>
      </c>
      <c r="D213" s="45" t="s">
        <v>94</v>
      </c>
      <c r="E213" s="45">
        <v>2</v>
      </c>
      <c r="F213" s="45" t="s">
        <v>28</v>
      </c>
      <c r="G213" s="45" t="s">
        <v>200</v>
      </c>
      <c r="H213" s="45" t="s">
        <v>144</v>
      </c>
      <c r="M213" s="42"/>
      <c r="N213" s="42"/>
      <c r="O213" s="55"/>
    </row>
    <row r="214" spans="1:15" hidden="1" x14ac:dyDescent="0.3">
      <c r="A214" s="45" t="s">
        <v>205</v>
      </c>
      <c r="B214" s="46" t="s">
        <v>206</v>
      </c>
      <c r="C214" s="45" t="s">
        <v>194</v>
      </c>
      <c r="D214" s="45" t="s">
        <v>94</v>
      </c>
      <c r="E214" s="45">
        <v>2</v>
      </c>
      <c r="F214" s="45" t="s">
        <v>28</v>
      </c>
      <c r="G214" s="45" t="s">
        <v>200</v>
      </c>
      <c r="H214" s="45" t="s">
        <v>144</v>
      </c>
      <c r="M214" s="42"/>
      <c r="N214" s="42"/>
      <c r="O214" s="55"/>
    </row>
    <row r="215" spans="1:15" hidden="1" x14ac:dyDescent="0.3">
      <c r="A215" s="45" t="s">
        <v>207</v>
      </c>
      <c r="B215" s="46" t="s">
        <v>208</v>
      </c>
      <c r="C215" s="45" t="s">
        <v>194</v>
      </c>
      <c r="D215" s="45" t="s">
        <v>94</v>
      </c>
      <c r="E215" s="45">
        <v>2</v>
      </c>
      <c r="F215" s="45" t="s">
        <v>28</v>
      </c>
      <c r="G215" s="45" t="s">
        <v>200</v>
      </c>
      <c r="H215" s="45" t="s">
        <v>144</v>
      </c>
      <c r="M215" s="42"/>
      <c r="N215" s="42"/>
      <c r="O215" s="55"/>
    </row>
    <row r="216" spans="1:15" hidden="1" x14ac:dyDescent="0.3">
      <c r="A216" s="45" t="s">
        <v>209</v>
      </c>
      <c r="B216" s="46" t="s">
        <v>210</v>
      </c>
      <c r="C216" s="45" t="s">
        <v>194</v>
      </c>
      <c r="D216" s="45" t="s">
        <v>94</v>
      </c>
      <c r="E216" s="45">
        <v>2</v>
      </c>
      <c r="F216" s="45" t="s">
        <v>28</v>
      </c>
      <c r="G216" s="45" t="s">
        <v>200</v>
      </c>
      <c r="H216" s="45" t="s">
        <v>144</v>
      </c>
      <c r="M216" s="42"/>
      <c r="N216" s="42"/>
      <c r="O216" s="55"/>
    </row>
    <row r="217" spans="1:15" hidden="1" x14ac:dyDescent="0.3">
      <c r="A217" s="45" t="s">
        <v>211</v>
      </c>
      <c r="B217" s="46" t="s">
        <v>212</v>
      </c>
      <c r="C217" s="45" t="s">
        <v>194</v>
      </c>
      <c r="D217" s="45" t="s">
        <v>94</v>
      </c>
      <c r="E217" s="45">
        <v>3</v>
      </c>
      <c r="F217" s="45" t="s">
        <v>28</v>
      </c>
      <c r="G217" s="45" t="s">
        <v>213</v>
      </c>
      <c r="H217" s="45" t="s">
        <v>144</v>
      </c>
      <c r="M217" s="42"/>
      <c r="N217" s="42"/>
      <c r="O217" s="55"/>
    </row>
    <row r="218" spans="1:15" hidden="1" x14ac:dyDescent="0.3">
      <c r="A218" s="45" t="s">
        <v>214</v>
      </c>
      <c r="B218" s="46" t="s">
        <v>215</v>
      </c>
      <c r="C218" s="45" t="s">
        <v>216</v>
      </c>
      <c r="D218" s="45" t="s">
        <v>94</v>
      </c>
      <c r="E218" s="45">
        <v>4</v>
      </c>
      <c r="F218" s="45" t="s">
        <v>28</v>
      </c>
      <c r="G218" s="45" t="s">
        <v>195</v>
      </c>
      <c r="H218" s="45" t="s">
        <v>144</v>
      </c>
      <c r="M218" s="42"/>
      <c r="N218" s="42"/>
      <c r="O218" s="55"/>
    </row>
    <row r="219" spans="1:15" hidden="1" x14ac:dyDescent="0.3">
      <c r="A219" s="45" t="s">
        <v>217</v>
      </c>
      <c r="B219" s="46" t="s">
        <v>218</v>
      </c>
      <c r="C219" s="45" t="s">
        <v>216</v>
      </c>
      <c r="D219" s="45" t="s">
        <v>94</v>
      </c>
      <c r="E219" s="45">
        <v>5</v>
      </c>
      <c r="F219" s="45" t="s">
        <v>28</v>
      </c>
      <c r="G219" s="45" t="s">
        <v>195</v>
      </c>
      <c r="H219" s="45" t="s">
        <v>144</v>
      </c>
      <c r="M219" s="42"/>
      <c r="N219" s="42"/>
      <c r="O219" s="55"/>
    </row>
    <row r="220" spans="1:15" hidden="1" x14ac:dyDescent="0.3">
      <c r="A220" s="45" t="s">
        <v>219</v>
      </c>
      <c r="B220" s="46" t="s">
        <v>220</v>
      </c>
      <c r="C220" s="45" t="s">
        <v>216</v>
      </c>
      <c r="D220" s="45" t="s">
        <v>94</v>
      </c>
      <c r="E220" s="45">
        <v>5</v>
      </c>
      <c r="F220" s="45" t="s">
        <v>28</v>
      </c>
      <c r="G220" s="45" t="s">
        <v>221</v>
      </c>
      <c r="H220" s="45" t="s">
        <v>144</v>
      </c>
      <c r="M220" s="42"/>
      <c r="N220" s="42"/>
      <c r="O220" s="55"/>
    </row>
    <row r="221" spans="1:15" hidden="1" x14ac:dyDescent="0.3">
      <c r="A221" s="45" t="s">
        <v>222</v>
      </c>
      <c r="B221" s="46" t="s">
        <v>223</v>
      </c>
      <c r="C221" s="45" t="s">
        <v>216</v>
      </c>
      <c r="D221" s="45" t="s">
        <v>94</v>
      </c>
      <c r="E221" s="45">
        <v>6</v>
      </c>
      <c r="F221" s="45" t="s">
        <v>28</v>
      </c>
      <c r="G221" s="45" t="s">
        <v>195</v>
      </c>
      <c r="H221" s="45" t="s">
        <v>144</v>
      </c>
      <c r="M221" s="42"/>
      <c r="N221" s="42"/>
      <c r="O221" s="55"/>
    </row>
    <row r="222" spans="1:15" hidden="1" x14ac:dyDescent="0.3">
      <c r="A222" s="45" t="s">
        <v>224</v>
      </c>
      <c r="B222" s="46" t="s">
        <v>225</v>
      </c>
      <c r="C222" s="45" t="s">
        <v>216</v>
      </c>
      <c r="D222" s="45" t="s">
        <v>94</v>
      </c>
      <c r="E222" s="45">
        <v>6</v>
      </c>
      <c r="F222" s="45" t="s">
        <v>28</v>
      </c>
      <c r="G222" s="45" t="s">
        <v>195</v>
      </c>
      <c r="H222" s="45" t="s">
        <v>144</v>
      </c>
      <c r="M222" s="42"/>
      <c r="N222" s="42"/>
      <c r="O222" s="55"/>
    </row>
    <row r="223" spans="1:15" hidden="1" x14ac:dyDescent="0.3">
      <c r="A223" s="45" t="s">
        <v>226</v>
      </c>
      <c r="B223" s="46" t="s">
        <v>227</v>
      </c>
      <c r="C223" s="45" t="s">
        <v>216</v>
      </c>
      <c r="D223" s="45" t="s">
        <v>94</v>
      </c>
      <c r="E223" s="45">
        <v>6</v>
      </c>
      <c r="F223" s="45" t="s">
        <v>28</v>
      </c>
      <c r="G223" s="45" t="s">
        <v>195</v>
      </c>
      <c r="H223" s="45" t="s">
        <v>144</v>
      </c>
      <c r="M223" s="42"/>
      <c r="N223" s="42"/>
      <c r="O223" s="55"/>
    </row>
    <row r="224" spans="1:15" hidden="1" x14ac:dyDescent="0.3">
      <c r="A224" s="45" t="s">
        <v>228</v>
      </c>
      <c r="B224" s="46" t="s">
        <v>229</v>
      </c>
      <c r="C224" s="45" t="s">
        <v>216</v>
      </c>
      <c r="D224" s="45" t="s">
        <v>94</v>
      </c>
      <c r="E224" s="45">
        <v>7</v>
      </c>
      <c r="F224" s="45" t="s">
        <v>28</v>
      </c>
      <c r="G224" s="45" t="s">
        <v>230</v>
      </c>
      <c r="H224" s="45" t="s">
        <v>144</v>
      </c>
      <c r="M224" s="42"/>
      <c r="N224" s="42"/>
      <c r="O224" s="55"/>
    </row>
    <row r="225" spans="1:15" hidden="1" x14ac:dyDescent="0.3">
      <c r="A225" s="45" t="s">
        <v>231</v>
      </c>
      <c r="B225" s="46" t="s">
        <v>232</v>
      </c>
      <c r="C225" s="45" t="s">
        <v>180</v>
      </c>
      <c r="D225" s="45" t="s">
        <v>94</v>
      </c>
      <c r="E225" s="45">
        <v>8</v>
      </c>
      <c r="F225" s="45" t="s">
        <v>28</v>
      </c>
      <c r="G225" s="45" t="s">
        <v>200</v>
      </c>
      <c r="H225" s="45" t="s">
        <v>144</v>
      </c>
      <c r="M225" s="42"/>
      <c r="N225" s="42"/>
      <c r="O225" s="55"/>
    </row>
    <row r="226" spans="1:15" hidden="1" x14ac:dyDescent="0.3">
      <c r="A226" s="45" t="s">
        <v>233</v>
      </c>
      <c r="B226" s="46" t="s">
        <v>234</v>
      </c>
      <c r="C226" s="45" t="s">
        <v>180</v>
      </c>
      <c r="D226" s="45" t="s">
        <v>94</v>
      </c>
      <c r="E226" s="45">
        <v>8</v>
      </c>
      <c r="F226" s="45" t="s">
        <v>28</v>
      </c>
      <c r="G226" s="45" t="s">
        <v>200</v>
      </c>
      <c r="H226" s="45" t="s">
        <v>144</v>
      </c>
      <c r="M226" s="42"/>
      <c r="N226" s="42"/>
      <c r="O226" s="55"/>
    </row>
    <row r="227" spans="1:15" hidden="1" x14ac:dyDescent="0.3">
      <c r="A227" s="45" t="s">
        <v>235</v>
      </c>
      <c r="B227" s="46" t="s">
        <v>236</v>
      </c>
      <c r="C227" s="45" t="s">
        <v>180</v>
      </c>
      <c r="D227" s="45" t="s">
        <v>94</v>
      </c>
      <c r="E227" s="45">
        <v>8</v>
      </c>
      <c r="F227" s="45" t="s">
        <v>28</v>
      </c>
      <c r="G227" s="45" t="s">
        <v>200</v>
      </c>
      <c r="H227" s="45" t="s">
        <v>144</v>
      </c>
      <c r="M227" s="42"/>
      <c r="N227" s="42"/>
      <c r="O227" s="55"/>
    </row>
    <row r="228" spans="1:15" hidden="1" x14ac:dyDescent="0.3">
      <c r="A228" s="45" t="s">
        <v>237</v>
      </c>
      <c r="B228" s="46" t="s">
        <v>238</v>
      </c>
      <c r="C228" s="45" t="s">
        <v>180</v>
      </c>
      <c r="D228" s="45" t="s">
        <v>94</v>
      </c>
      <c r="E228" s="45">
        <v>9</v>
      </c>
      <c r="F228" s="45" t="s">
        <v>28</v>
      </c>
      <c r="G228" s="45" t="s">
        <v>195</v>
      </c>
      <c r="H228" s="45" t="s">
        <v>144</v>
      </c>
      <c r="M228" s="42"/>
      <c r="N228" s="42"/>
      <c r="O228" s="55"/>
    </row>
    <row r="229" spans="1:15" hidden="1" x14ac:dyDescent="0.3">
      <c r="A229" s="45" t="s">
        <v>239</v>
      </c>
      <c r="B229" s="46" t="s">
        <v>240</v>
      </c>
      <c r="C229" s="45" t="s">
        <v>180</v>
      </c>
      <c r="D229" s="45" t="s">
        <v>94</v>
      </c>
      <c r="E229" s="45">
        <v>9</v>
      </c>
      <c r="F229" s="45" t="s">
        <v>28</v>
      </c>
      <c r="G229" s="45" t="s">
        <v>195</v>
      </c>
      <c r="H229" s="45" t="s">
        <v>144</v>
      </c>
      <c r="M229" s="42"/>
      <c r="N229" s="42"/>
      <c r="O229" s="55"/>
    </row>
    <row r="230" spans="1:15" x14ac:dyDescent="0.3">
      <c r="A230" s="45" t="s">
        <v>643</v>
      </c>
      <c r="B230" s="46" t="s">
        <v>644</v>
      </c>
      <c r="C230" s="45" t="s">
        <v>243</v>
      </c>
      <c r="D230" s="45" t="s">
        <v>51</v>
      </c>
      <c r="E230" s="45">
        <v>112</v>
      </c>
      <c r="F230" s="45" t="s">
        <v>28</v>
      </c>
      <c r="G230" s="45" t="s">
        <v>42</v>
      </c>
      <c r="H230" s="45" t="s">
        <v>144</v>
      </c>
      <c r="M230" s="42"/>
      <c r="N230" s="42"/>
      <c r="O230" s="55"/>
    </row>
    <row r="231" spans="1:15" x14ac:dyDescent="0.3">
      <c r="A231" s="45" t="s">
        <v>645</v>
      </c>
      <c r="B231" s="46" t="s">
        <v>646</v>
      </c>
      <c r="C231" s="45" t="s">
        <v>243</v>
      </c>
      <c r="D231" s="45" t="s">
        <v>51</v>
      </c>
      <c r="E231" s="45">
        <v>112</v>
      </c>
      <c r="F231" s="45" t="s">
        <v>28</v>
      </c>
      <c r="G231" s="45" t="s">
        <v>42</v>
      </c>
      <c r="H231" s="45" t="s">
        <v>144</v>
      </c>
      <c r="M231" s="42"/>
      <c r="N231" s="42"/>
      <c r="O231" s="55"/>
    </row>
    <row r="232" spans="1:15" x14ac:dyDescent="0.3">
      <c r="A232" s="45" t="s">
        <v>647</v>
      </c>
      <c r="B232" s="46" t="s">
        <v>648</v>
      </c>
      <c r="C232" s="45" t="s">
        <v>243</v>
      </c>
      <c r="D232" s="45" t="s">
        <v>51</v>
      </c>
      <c r="E232" s="45">
        <v>112</v>
      </c>
      <c r="F232" s="45" t="s">
        <v>28</v>
      </c>
      <c r="G232" s="45" t="s">
        <v>42</v>
      </c>
      <c r="H232" s="45" t="s">
        <v>144</v>
      </c>
      <c r="M232" s="42"/>
      <c r="N232" s="42"/>
      <c r="O232" s="55"/>
    </row>
    <row r="233" spans="1:15" x14ac:dyDescent="0.3">
      <c r="A233" s="45" t="s">
        <v>649</v>
      </c>
      <c r="B233" s="46" t="s">
        <v>650</v>
      </c>
      <c r="C233" s="45" t="s">
        <v>243</v>
      </c>
      <c r="D233" s="45" t="s">
        <v>51</v>
      </c>
      <c r="E233" s="45">
        <v>113</v>
      </c>
      <c r="F233" s="45" t="s">
        <v>28</v>
      </c>
      <c r="G233" s="45" t="s">
        <v>42</v>
      </c>
      <c r="H233" s="45" t="s">
        <v>144</v>
      </c>
      <c r="M233" s="42"/>
      <c r="N233" s="42"/>
      <c r="O233" s="55"/>
    </row>
    <row r="234" spans="1:15" x14ac:dyDescent="0.3">
      <c r="A234" s="45" t="s">
        <v>651</v>
      </c>
      <c r="B234" s="46" t="s">
        <v>652</v>
      </c>
      <c r="C234" s="45" t="s">
        <v>243</v>
      </c>
      <c r="D234" s="45" t="s">
        <v>51</v>
      </c>
      <c r="E234" s="45">
        <v>114</v>
      </c>
      <c r="F234" s="45" t="s">
        <v>28</v>
      </c>
      <c r="G234" s="45" t="s">
        <v>42</v>
      </c>
      <c r="H234" s="45" t="s">
        <v>144</v>
      </c>
      <c r="M234" s="42"/>
      <c r="N234" s="42"/>
    </row>
    <row r="235" spans="1:15" x14ac:dyDescent="0.3">
      <c r="A235" s="45" t="s">
        <v>653</v>
      </c>
      <c r="B235" s="46" t="s">
        <v>654</v>
      </c>
      <c r="C235" s="45" t="s">
        <v>243</v>
      </c>
      <c r="D235" s="45" t="s">
        <v>51</v>
      </c>
      <c r="E235" s="45">
        <v>115</v>
      </c>
      <c r="F235" s="45" t="s">
        <v>28</v>
      </c>
      <c r="G235" s="45" t="s">
        <v>100</v>
      </c>
      <c r="H235" s="45" t="s">
        <v>144</v>
      </c>
      <c r="M235" s="42"/>
      <c r="N235" s="42"/>
    </row>
    <row r="236" spans="1:15" x14ac:dyDescent="0.3">
      <c r="A236" s="45" t="s">
        <v>655</v>
      </c>
      <c r="B236" s="46" t="s">
        <v>656</v>
      </c>
      <c r="C236" s="45" t="s">
        <v>243</v>
      </c>
      <c r="D236" s="45" t="s">
        <v>51</v>
      </c>
      <c r="E236" s="45">
        <v>115</v>
      </c>
      <c r="F236" s="45" t="s">
        <v>28</v>
      </c>
      <c r="G236" s="45" t="s">
        <v>100</v>
      </c>
      <c r="H236" s="45" t="s">
        <v>144</v>
      </c>
      <c r="M236" s="42"/>
      <c r="N236" s="42"/>
    </row>
    <row r="237" spans="1:15" x14ac:dyDescent="0.3">
      <c r="A237" s="45" t="s">
        <v>657</v>
      </c>
      <c r="B237" s="46" t="s">
        <v>658</v>
      </c>
      <c r="C237" s="45" t="s">
        <v>243</v>
      </c>
      <c r="D237" s="45" t="s">
        <v>51</v>
      </c>
      <c r="E237" s="45">
        <v>116</v>
      </c>
      <c r="F237" s="45" t="s">
        <v>28</v>
      </c>
      <c r="G237" s="45" t="s">
        <v>102</v>
      </c>
      <c r="H237" s="45" t="s">
        <v>144</v>
      </c>
      <c r="M237" s="42"/>
      <c r="N237" s="42"/>
    </row>
    <row r="238" spans="1:15" x14ac:dyDescent="0.3">
      <c r="A238" s="45" t="s">
        <v>659</v>
      </c>
      <c r="B238" s="46" t="s">
        <v>660</v>
      </c>
      <c r="C238" s="45" t="s">
        <v>661</v>
      </c>
      <c r="D238" s="45" t="s">
        <v>51</v>
      </c>
      <c r="E238" s="45">
        <v>117</v>
      </c>
      <c r="F238" s="45" t="s">
        <v>28</v>
      </c>
      <c r="G238" s="45" t="s">
        <v>117</v>
      </c>
      <c r="H238" s="45" t="s">
        <v>144</v>
      </c>
      <c r="M238" s="42"/>
      <c r="N238" s="42"/>
    </row>
    <row r="239" spans="1:15" x14ac:dyDescent="0.3">
      <c r="A239" s="45" t="s">
        <v>662</v>
      </c>
      <c r="B239" s="46" t="s">
        <v>663</v>
      </c>
      <c r="C239" s="45" t="s">
        <v>661</v>
      </c>
      <c r="D239" s="45" t="s">
        <v>51</v>
      </c>
      <c r="E239" s="45">
        <v>118</v>
      </c>
      <c r="F239" s="45" t="s">
        <v>28</v>
      </c>
      <c r="G239" s="45" t="s">
        <v>42</v>
      </c>
      <c r="H239" s="45" t="s">
        <v>144</v>
      </c>
      <c r="M239" s="42"/>
      <c r="N239" s="42"/>
    </row>
    <row r="240" spans="1:15" x14ac:dyDescent="0.3">
      <c r="A240" s="45" t="s">
        <v>664</v>
      </c>
      <c r="B240" s="46" t="s">
        <v>665</v>
      </c>
      <c r="C240" s="45" t="s">
        <v>661</v>
      </c>
      <c r="D240" s="45" t="s">
        <v>51</v>
      </c>
      <c r="E240" s="45">
        <v>118</v>
      </c>
      <c r="F240" s="45" t="s">
        <v>28</v>
      </c>
      <c r="G240" s="45" t="s">
        <v>42</v>
      </c>
      <c r="H240" s="45" t="s">
        <v>144</v>
      </c>
      <c r="M240" s="42"/>
      <c r="N240" s="42"/>
    </row>
    <row r="241" spans="1:14" x14ac:dyDescent="0.3">
      <c r="A241" s="45" t="s">
        <v>666</v>
      </c>
      <c r="B241" s="46" t="s">
        <v>667</v>
      </c>
      <c r="C241" s="45" t="s">
        <v>661</v>
      </c>
      <c r="D241" s="45" t="s">
        <v>51</v>
      </c>
      <c r="E241" s="45">
        <v>119</v>
      </c>
      <c r="F241" s="45" t="s">
        <v>28</v>
      </c>
      <c r="G241" s="45" t="s">
        <v>84</v>
      </c>
      <c r="H241" s="45" t="s">
        <v>144</v>
      </c>
      <c r="M241" s="42"/>
      <c r="N241" s="42"/>
    </row>
    <row r="242" spans="1:14" x14ac:dyDescent="0.3">
      <c r="A242" s="45" t="s">
        <v>668</v>
      </c>
      <c r="B242" s="46" t="s">
        <v>669</v>
      </c>
      <c r="C242" s="45" t="s">
        <v>661</v>
      </c>
      <c r="D242" s="45" t="s">
        <v>51</v>
      </c>
      <c r="E242" s="45">
        <v>120</v>
      </c>
      <c r="F242" s="45" t="s">
        <v>28</v>
      </c>
      <c r="G242" s="45" t="s">
        <v>118</v>
      </c>
      <c r="H242" s="45" t="s">
        <v>144</v>
      </c>
      <c r="M242" s="42"/>
      <c r="N242" s="42"/>
    </row>
    <row r="243" spans="1:14" x14ac:dyDescent="0.3">
      <c r="A243" s="45" t="s">
        <v>670</v>
      </c>
      <c r="B243" s="46" t="s">
        <v>671</v>
      </c>
      <c r="C243" s="45" t="s">
        <v>661</v>
      </c>
      <c r="D243" s="45" t="s">
        <v>51</v>
      </c>
      <c r="E243" s="45">
        <v>121</v>
      </c>
      <c r="F243" s="45" t="s">
        <v>28</v>
      </c>
      <c r="G243" s="45" t="s">
        <v>118</v>
      </c>
      <c r="H243" s="45" t="s">
        <v>144</v>
      </c>
      <c r="M243" s="42"/>
      <c r="N243" s="42"/>
    </row>
    <row r="244" spans="1:14" hidden="1" x14ac:dyDescent="0.3">
      <c r="M244" s="42"/>
      <c r="N244" s="42"/>
    </row>
    <row r="245" spans="1:14" hidden="1" x14ac:dyDescent="0.3">
      <c r="M245" s="42"/>
      <c r="N245" s="42"/>
    </row>
    <row r="246" spans="1:14" hidden="1" x14ac:dyDescent="0.3">
      <c r="M246" s="42"/>
      <c r="N246" s="42"/>
    </row>
    <row r="247" spans="1:14" hidden="1" x14ac:dyDescent="0.3">
      <c r="M247" s="42"/>
      <c r="N247" s="42"/>
    </row>
  </sheetData>
  <protectedRanges>
    <protectedRange sqref="D176:E176 A158:C232 D161:H162 A69:H141 D158:F160 A142:F157 G142:H160 D163:F175 H163:H175 D177:F177 H177 G163:G177 A233:H1045 D178:H232" name="Range1"/>
    <protectedRange sqref="J2:K2 M1:N1048576" name="Range2"/>
    <protectedRange sqref="A30:F33 H30:H33 A34:H68" name="Range1_1"/>
    <protectedRange sqref="H4:H29 G27:G33 F176 H176 A2:F29" name="Range1_3_1"/>
    <protectedRange sqref="H2:H3" name="Range1_1_2_1"/>
    <protectedRange sqref="G5:G26" name="Range1_2_2_1"/>
    <protectedRange sqref="G2:G4" name="Range1_2_1_1_1"/>
  </protectedRanges>
  <autoFilter ref="A1:G247" xr:uid="{00000000-0009-0000-0000-000002000000}">
    <filterColumn colId="2">
      <filters>
        <filter val="N777ZH"/>
        <filter val="NH891"/>
        <filter val="QR970"/>
      </filters>
    </filterColumn>
    <sortState xmlns:xlrd2="http://schemas.microsoft.com/office/spreadsheetml/2017/richdata2" ref="A114:G243">
      <sortCondition ref="E1:E247"/>
    </sortState>
  </autoFilter>
  <sortState xmlns:xlrd2="http://schemas.microsoft.com/office/spreadsheetml/2017/richdata2" ref="A2:H247">
    <sortCondition ref="G1"/>
  </sortState>
  <phoneticPr fontId="18" type="noConversion"/>
  <pageMargins left="0.7" right="0.7" top="0.75" bottom="0.75" header="0.3" footer="0.3"/>
  <pageSetup paperSize="9" scale="64" fitToHeight="0" orientation="portrait" r:id="rId2"/>
  <cellWatches>
    <cellWatch r="M3"/>
    <cellWatch r="M4"/>
  </cellWatch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heet3.OpenFileSaco">
                <anchor>
                  <from>
                    <xdr:col>8</xdr:col>
                    <xdr:colOff>123825</xdr:colOff>
                    <xdr:row>115</xdr:row>
                    <xdr:rowOff>28575</xdr:rowOff>
                  </from>
                  <to>
                    <xdr:col>10</xdr:col>
                    <xdr:colOff>876300</xdr:colOff>
                    <xdr:row>117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heet3.DeleteInfo">
                <anchor>
                  <from>
                    <xdr:col>8</xdr:col>
                    <xdr:colOff>123825</xdr:colOff>
                    <xdr:row>118</xdr:row>
                    <xdr:rowOff>95250</xdr:rowOff>
                  </from>
                  <to>
                    <xdr:col>10</xdr:col>
                    <xdr:colOff>876300</xdr:colOff>
                    <xdr:row>120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OFFSET(MAIN!$U$4,0,0,COUNTA(MAIN!$U:$U)-2,1)</xm:f>
          </x14:formula1>
          <xm:sqref>K2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377"/>
  <sheetViews>
    <sheetView zoomScaleNormal="100" workbookViewId="0">
      <pane ySplit="1" topLeftCell="A2" activePane="bottomLeft" state="frozen"/>
      <selection pane="bottomLeft" activeCell="H14" sqref="H14"/>
    </sheetView>
  </sheetViews>
  <sheetFormatPr defaultColWidth="9.140625" defaultRowHeight="18.75" x14ac:dyDescent="0.3"/>
  <cols>
    <col min="1" max="1" width="6.5703125" style="39" customWidth="1"/>
    <col min="2" max="2" width="30" style="14" customWidth="1"/>
    <col min="3" max="3" width="11.85546875" style="14" customWidth="1"/>
    <col min="4" max="4" width="11.140625" style="14" customWidth="1"/>
    <col min="5" max="5" width="12.140625" style="14" customWidth="1"/>
    <col min="6" max="6" width="12.85546875" style="39" bestFit="1" customWidth="1"/>
    <col min="7" max="7" width="10" style="14" customWidth="1"/>
    <col min="8" max="8" width="9.5703125" style="14" customWidth="1"/>
    <col min="9" max="9" width="14" style="14" customWidth="1"/>
    <col min="10" max="10" width="10.5703125" style="14" customWidth="1"/>
    <col min="11" max="11" width="10.85546875" style="14" customWidth="1"/>
    <col min="12" max="12" width="10" style="14" customWidth="1"/>
    <col min="13" max="13" width="58.7109375" style="14" bestFit="1" customWidth="1"/>
    <col min="14" max="14" width="10.140625" style="41" bestFit="1" customWidth="1"/>
    <col min="15" max="16384" width="9.140625" style="1"/>
  </cols>
  <sheetData>
    <row r="1" spans="1:14" x14ac:dyDescent="0.3">
      <c r="A1" s="38" t="s">
        <v>46</v>
      </c>
      <c r="B1" s="16" t="s">
        <v>8</v>
      </c>
      <c r="C1" s="16" t="s">
        <v>9</v>
      </c>
      <c r="D1" s="16" t="s">
        <v>48</v>
      </c>
      <c r="E1" s="16" t="s">
        <v>11</v>
      </c>
      <c r="F1" s="38" t="s">
        <v>12</v>
      </c>
      <c r="G1" s="16" t="s">
        <v>23</v>
      </c>
      <c r="H1" s="16" t="s">
        <v>14</v>
      </c>
      <c r="I1" s="16" t="s">
        <v>24</v>
      </c>
      <c r="J1" s="16" t="s">
        <v>47</v>
      </c>
      <c r="K1" s="16" t="s">
        <v>33</v>
      </c>
      <c r="L1" s="16" t="s">
        <v>32</v>
      </c>
      <c r="M1" s="16" t="s">
        <v>25</v>
      </c>
      <c r="N1" s="40" t="s">
        <v>106</v>
      </c>
    </row>
    <row r="2" spans="1:14" x14ac:dyDescent="0.3">
      <c r="A2" s="39" t="s">
        <v>145</v>
      </c>
      <c r="B2" s="14" t="s">
        <v>145</v>
      </c>
      <c r="C2" s="14" t="s">
        <v>145</v>
      </c>
      <c r="D2" s="14" t="s">
        <v>145</v>
      </c>
      <c r="E2" s="14" t="s">
        <v>145</v>
      </c>
      <c r="F2" s="39" t="s">
        <v>145</v>
      </c>
      <c r="G2" s="22" t="s">
        <v>145</v>
      </c>
      <c r="H2" s="14" t="s">
        <v>145</v>
      </c>
      <c r="I2" s="14" t="s">
        <v>145</v>
      </c>
      <c r="J2" s="14" t="s">
        <v>145</v>
      </c>
      <c r="K2" s="14" t="s">
        <v>145</v>
      </c>
      <c r="L2" s="14" t="s">
        <v>145</v>
      </c>
      <c r="M2" s="14" t="s">
        <v>145</v>
      </c>
      <c r="N2" s="41" t="s">
        <v>145</v>
      </c>
    </row>
    <row r="3" spans="1:14" x14ac:dyDescent="0.3">
      <c r="A3" s="39" t="s">
        <v>145</v>
      </c>
      <c r="B3" s="14" t="s">
        <v>145</v>
      </c>
      <c r="C3" s="14" t="s">
        <v>145</v>
      </c>
      <c r="D3" s="14" t="s">
        <v>145</v>
      </c>
      <c r="E3" s="14" t="s">
        <v>145</v>
      </c>
      <c r="F3" s="39" t="s">
        <v>145</v>
      </c>
      <c r="G3" s="22" t="s">
        <v>145</v>
      </c>
      <c r="H3" s="14" t="s">
        <v>145</v>
      </c>
      <c r="I3" s="14" t="s">
        <v>145</v>
      </c>
      <c r="J3" s="14" t="s">
        <v>145</v>
      </c>
      <c r="K3" s="14" t="s">
        <v>145</v>
      </c>
      <c r="L3" s="14" t="s">
        <v>145</v>
      </c>
      <c r="M3" s="14" t="s">
        <v>145</v>
      </c>
      <c r="N3" s="41" t="s">
        <v>145</v>
      </c>
    </row>
    <row r="4" spans="1:14" x14ac:dyDescent="0.3">
      <c r="A4" s="39" t="s">
        <v>145</v>
      </c>
      <c r="B4" s="14" t="s">
        <v>145</v>
      </c>
      <c r="C4" s="14" t="s">
        <v>145</v>
      </c>
      <c r="D4" s="14" t="s">
        <v>145</v>
      </c>
      <c r="E4" s="14" t="s">
        <v>145</v>
      </c>
      <c r="F4" s="39" t="s">
        <v>145</v>
      </c>
      <c r="G4" s="22" t="s">
        <v>145</v>
      </c>
      <c r="H4" s="14" t="s">
        <v>145</v>
      </c>
      <c r="I4" s="14" t="s">
        <v>145</v>
      </c>
      <c r="J4" s="14" t="s">
        <v>145</v>
      </c>
      <c r="K4" s="14" t="s">
        <v>145</v>
      </c>
      <c r="L4" s="14" t="s">
        <v>145</v>
      </c>
      <c r="M4" s="14" t="s">
        <v>145</v>
      </c>
      <c r="N4" s="41" t="s">
        <v>145</v>
      </c>
    </row>
    <row r="5" spans="1:14" x14ac:dyDescent="0.3">
      <c r="A5" s="39" t="s">
        <v>145</v>
      </c>
      <c r="B5" s="14" t="s">
        <v>145</v>
      </c>
      <c r="C5" s="14" t="s">
        <v>145</v>
      </c>
      <c r="D5" s="14" t="s">
        <v>145</v>
      </c>
      <c r="E5" s="14" t="s">
        <v>145</v>
      </c>
      <c r="F5" s="39" t="s">
        <v>145</v>
      </c>
      <c r="G5" s="22" t="s">
        <v>145</v>
      </c>
      <c r="H5" s="14" t="s">
        <v>145</v>
      </c>
      <c r="I5" s="14" t="s">
        <v>145</v>
      </c>
      <c r="J5" s="14" t="s">
        <v>145</v>
      </c>
      <c r="K5" s="14" t="s">
        <v>145</v>
      </c>
      <c r="L5" s="14" t="s">
        <v>145</v>
      </c>
      <c r="M5" s="14" t="s">
        <v>145</v>
      </c>
      <c r="N5" s="41" t="s">
        <v>145</v>
      </c>
    </row>
    <row r="6" spans="1:14" x14ac:dyDescent="0.3">
      <c r="A6" s="39" t="s">
        <v>145</v>
      </c>
      <c r="B6" s="14" t="s">
        <v>145</v>
      </c>
      <c r="C6" s="14" t="s">
        <v>145</v>
      </c>
      <c r="D6" s="14" t="s">
        <v>145</v>
      </c>
      <c r="E6" s="14" t="s">
        <v>145</v>
      </c>
      <c r="F6" s="39" t="s">
        <v>145</v>
      </c>
      <c r="G6" s="22" t="s">
        <v>145</v>
      </c>
      <c r="H6" s="14" t="s">
        <v>145</v>
      </c>
      <c r="I6" s="14" t="s">
        <v>145</v>
      </c>
      <c r="J6" s="14" t="s">
        <v>145</v>
      </c>
      <c r="K6" s="14" t="s">
        <v>145</v>
      </c>
      <c r="L6" s="14" t="s">
        <v>145</v>
      </c>
      <c r="M6" s="14" t="s">
        <v>145</v>
      </c>
      <c r="N6" s="41" t="s">
        <v>145</v>
      </c>
    </row>
    <row r="7" spans="1:14" x14ac:dyDescent="0.3">
      <c r="A7" s="39" t="s">
        <v>145</v>
      </c>
      <c r="B7" s="14" t="s">
        <v>145</v>
      </c>
      <c r="C7" s="14" t="s">
        <v>145</v>
      </c>
      <c r="D7" s="14" t="s">
        <v>145</v>
      </c>
      <c r="E7" s="14" t="s">
        <v>145</v>
      </c>
      <c r="F7" s="39" t="s">
        <v>145</v>
      </c>
      <c r="G7" s="22" t="s">
        <v>145</v>
      </c>
      <c r="H7" s="14" t="s">
        <v>145</v>
      </c>
      <c r="I7" s="14" t="s">
        <v>145</v>
      </c>
      <c r="J7" s="14" t="s">
        <v>145</v>
      </c>
      <c r="K7" s="14" t="s">
        <v>145</v>
      </c>
      <c r="L7" s="14" t="s">
        <v>145</v>
      </c>
      <c r="M7" s="14" t="s">
        <v>145</v>
      </c>
      <c r="N7" s="41" t="s">
        <v>145</v>
      </c>
    </row>
    <row r="8" spans="1:14" x14ac:dyDescent="0.3">
      <c r="A8" s="39" t="s">
        <v>145</v>
      </c>
      <c r="B8" s="14" t="s">
        <v>145</v>
      </c>
      <c r="C8" s="14" t="s">
        <v>145</v>
      </c>
      <c r="D8" s="14" t="s">
        <v>145</v>
      </c>
      <c r="E8" s="14" t="s">
        <v>145</v>
      </c>
      <c r="F8" s="39" t="s">
        <v>145</v>
      </c>
      <c r="G8" s="22" t="s">
        <v>145</v>
      </c>
      <c r="H8" s="14" t="s">
        <v>145</v>
      </c>
      <c r="I8" s="14" t="s">
        <v>145</v>
      </c>
      <c r="J8" s="14" t="s">
        <v>145</v>
      </c>
      <c r="K8" s="14" t="s">
        <v>145</v>
      </c>
      <c r="L8" s="14" t="s">
        <v>145</v>
      </c>
      <c r="M8" s="14" t="s">
        <v>145</v>
      </c>
      <c r="N8" s="41" t="s">
        <v>145</v>
      </c>
    </row>
    <row r="9" spans="1:14" x14ac:dyDescent="0.3">
      <c r="A9" s="39" t="s">
        <v>145</v>
      </c>
      <c r="B9" s="14" t="s">
        <v>145</v>
      </c>
      <c r="C9" s="14" t="s">
        <v>145</v>
      </c>
      <c r="D9" s="14" t="s">
        <v>145</v>
      </c>
      <c r="E9" s="14" t="s">
        <v>145</v>
      </c>
      <c r="F9" s="39" t="s">
        <v>145</v>
      </c>
      <c r="G9" s="22" t="s">
        <v>145</v>
      </c>
      <c r="H9" s="14" t="s">
        <v>145</v>
      </c>
      <c r="I9" s="14" t="s">
        <v>145</v>
      </c>
      <c r="J9" s="14" t="s">
        <v>145</v>
      </c>
      <c r="K9" s="14" t="s">
        <v>145</v>
      </c>
      <c r="L9" s="14" t="s">
        <v>145</v>
      </c>
      <c r="M9" s="14" t="s">
        <v>145</v>
      </c>
      <c r="N9" s="41" t="s">
        <v>145</v>
      </c>
    </row>
    <row r="10" spans="1:14" x14ac:dyDescent="0.3">
      <c r="A10" s="39" t="s">
        <v>145</v>
      </c>
      <c r="B10" s="14" t="s">
        <v>145</v>
      </c>
      <c r="C10" s="14" t="s">
        <v>145</v>
      </c>
      <c r="D10" s="14" t="s">
        <v>145</v>
      </c>
      <c r="E10" s="14" t="s">
        <v>145</v>
      </c>
      <c r="F10" s="39" t="s">
        <v>145</v>
      </c>
      <c r="G10" s="22" t="s">
        <v>145</v>
      </c>
      <c r="H10" s="14" t="s">
        <v>145</v>
      </c>
      <c r="I10" s="14" t="s">
        <v>145</v>
      </c>
      <c r="J10" s="14" t="s">
        <v>145</v>
      </c>
      <c r="K10" s="14" t="s">
        <v>145</v>
      </c>
      <c r="L10" s="14" t="s">
        <v>145</v>
      </c>
      <c r="M10" s="14" t="s">
        <v>145</v>
      </c>
      <c r="N10" s="41" t="s">
        <v>145</v>
      </c>
    </row>
    <row r="11" spans="1:14" x14ac:dyDescent="0.3">
      <c r="A11" s="39" t="s">
        <v>145</v>
      </c>
      <c r="B11" s="14" t="s">
        <v>145</v>
      </c>
      <c r="C11" s="14" t="s">
        <v>145</v>
      </c>
      <c r="D11" s="14" t="s">
        <v>145</v>
      </c>
      <c r="E11" s="14" t="s">
        <v>145</v>
      </c>
      <c r="F11" s="39" t="s">
        <v>145</v>
      </c>
      <c r="G11" s="22" t="s">
        <v>145</v>
      </c>
      <c r="H11" s="14" t="s">
        <v>145</v>
      </c>
      <c r="I11" s="14" t="s">
        <v>145</v>
      </c>
      <c r="J11" s="14" t="s">
        <v>145</v>
      </c>
      <c r="K11" s="14" t="s">
        <v>145</v>
      </c>
      <c r="L11" s="14" t="s">
        <v>145</v>
      </c>
      <c r="M11" s="14" t="s">
        <v>145</v>
      </c>
      <c r="N11" s="41" t="s">
        <v>145</v>
      </c>
    </row>
    <row r="12" spans="1:14" x14ac:dyDescent="0.3">
      <c r="A12" s="39" t="s">
        <v>145</v>
      </c>
      <c r="B12" s="14" t="s">
        <v>145</v>
      </c>
      <c r="C12" s="14" t="s">
        <v>145</v>
      </c>
      <c r="D12" s="14" t="s">
        <v>145</v>
      </c>
      <c r="E12" s="14" t="s">
        <v>145</v>
      </c>
      <c r="F12" s="39" t="s">
        <v>145</v>
      </c>
      <c r="G12" s="22" t="s">
        <v>145</v>
      </c>
      <c r="H12" s="14" t="s">
        <v>145</v>
      </c>
      <c r="I12" s="14" t="s">
        <v>145</v>
      </c>
      <c r="J12" s="14" t="s">
        <v>145</v>
      </c>
      <c r="K12" s="14" t="s">
        <v>145</v>
      </c>
      <c r="L12" s="14" t="s">
        <v>145</v>
      </c>
      <c r="M12" s="14" t="s">
        <v>145</v>
      </c>
      <c r="N12" s="41" t="s">
        <v>145</v>
      </c>
    </row>
    <row r="13" spans="1:14" x14ac:dyDescent="0.3">
      <c r="A13" s="39" t="s">
        <v>145</v>
      </c>
      <c r="B13" s="14" t="s">
        <v>145</v>
      </c>
      <c r="C13" s="14" t="s">
        <v>145</v>
      </c>
      <c r="D13" s="14" t="s">
        <v>145</v>
      </c>
      <c r="E13" s="14" t="s">
        <v>145</v>
      </c>
      <c r="F13" s="39" t="s">
        <v>145</v>
      </c>
      <c r="G13" s="22" t="s">
        <v>145</v>
      </c>
      <c r="H13" s="14" t="s">
        <v>145</v>
      </c>
      <c r="I13" s="14" t="s">
        <v>145</v>
      </c>
      <c r="J13" s="14" t="s">
        <v>145</v>
      </c>
      <c r="K13" s="14" t="s">
        <v>145</v>
      </c>
      <c r="L13" s="14" t="s">
        <v>145</v>
      </c>
      <c r="M13" s="14" t="s">
        <v>145</v>
      </c>
      <c r="N13" s="41" t="s">
        <v>145</v>
      </c>
    </row>
    <row r="14" spans="1:14" x14ac:dyDescent="0.3">
      <c r="A14" s="39" t="s">
        <v>145</v>
      </c>
      <c r="B14" s="14" t="s">
        <v>145</v>
      </c>
      <c r="C14" s="14" t="s">
        <v>145</v>
      </c>
      <c r="D14" s="14" t="s">
        <v>145</v>
      </c>
      <c r="E14" s="14" t="s">
        <v>145</v>
      </c>
      <c r="F14" s="39" t="s">
        <v>145</v>
      </c>
      <c r="G14" s="22" t="s">
        <v>145</v>
      </c>
      <c r="H14" s="14" t="s">
        <v>145</v>
      </c>
      <c r="I14" s="14" t="s">
        <v>145</v>
      </c>
      <c r="J14" s="14" t="s">
        <v>145</v>
      </c>
      <c r="K14" s="14" t="s">
        <v>145</v>
      </c>
      <c r="L14" s="14" t="s">
        <v>145</v>
      </c>
      <c r="M14" s="14" t="s">
        <v>145</v>
      </c>
      <c r="N14" s="41" t="s">
        <v>145</v>
      </c>
    </row>
    <row r="15" spans="1:14" x14ac:dyDescent="0.3">
      <c r="A15" s="39" t="s">
        <v>145</v>
      </c>
      <c r="B15" s="14" t="s">
        <v>145</v>
      </c>
      <c r="C15" s="14" t="s">
        <v>145</v>
      </c>
      <c r="D15" s="14" t="s">
        <v>145</v>
      </c>
      <c r="E15" s="14" t="s">
        <v>145</v>
      </c>
      <c r="F15" s="39" t="s">
        <v>145</v>
      </c>
      <c r="G15" s="22" t="s">
        <v>145</v>
      </c>
      <c r="H15" s="14" t="s">
        <v>145</v>
      </c>
      <c r="I15" s="14" t="s">
        <v>145</v>
      </c>
      <c r="J15" s="14" t="s">
        <v>145</v>
      </c>
      <c r="K15" s="14" t="s">
        <v>145</v>
      </c>
      <c r="L15" s="14" t="s">
        <v>145</v>
      </c>
      <c r="M15" s="14" t="s">
        <v>145</v>
      </c>
      <c r="N15" s="41" t="s">
        <v>145</v>
      </c>
    </row>
    <row r="16" spans="1:14" x14ac:dyDescent="0.3">
      <c r="A16" s="39" t="s">
        <v>145</v>
      </c>
      <c r="B16" s="14" t="s">
        <v>145</v>
      </c>
      <c r="C16" s="14" t="s">
        <v>145</v>
      </c>
      <c r="D16" s="14" t="s">
        <v>145</v>
      </c>
      <c r="E16" s="14" t="s">
        <v>145</v>
      </c>
      <c r="F16" s="39" t="s">
        <v>145</v>
      </c>
      <c r="G16" s="22" t="s">
        <v>145</v>
      </c>
      <c r="H16" s="14" t="s">
        <v>145</v>
      </c>
      <c r="I16" s="14" t="s">
        <v>145</v>
      </c>
      <c r="J16" s="14" t="s">
        <v>145</v>
      </c>
      <c r="K16" s="14" t="s">
        <v>145</v>
      </c>
      <c r="L16" s="14" t="s">
        <v>145</v>
      </c>
      <c r="M16" s="14" t="s">
        <v>145</v>
      </c>
      <c r="N16" s="41" t="s">
        <v>145</v>
      </c>
    </row>
    <row r="17" spans="1:14" x14ac:dyDescent="0.3">
      <c r="A17" s="39" t="s">
        <v>145</v>
      </c>
      <c r="B17" s="14" t="s">
        <v>145</v>
      </c>
      <c r="C17" s="14" t="s">
        <v>145</v>
      </c>
      <c r="D17" s="14" t="s">
        <v>145</v>
      </c>
      <c r="E17" s="14" t="s">
        <v>145</v>
      </c>
      <c r="F17" s="39" t="s">
        <v>145</v>
      </c>
      <c r="G17" s="22" t="s">
        <v>145</v>
      </c>
      <c r="H17" s="14" t="s">
        <v>145</v>
      </c>
      <c r="I17" s="14" t="s">
        <v>145</v>
      </c>
      <c r="J17" s="14" t="s">
        <v>145</v>
      </c>
      <c r="K17" s="14" t="s">
        <v>145</v>
      </c>
      <c r="L17" s="14" t="s">
        <v>145</v>
      </c>
      <c r="M17" s="14" t="s">
        <v>145</v>
      </c>
      <c r="N17" s="41" t="s">
        <v>145</v>
      </c>
    </row>
    <row r="18" spans="1:14" x14ac:dyDescent="0.3">
      <c r="A18" s="39" t="s">
        <v>145</v>
      </c>
      <c r="B18" s="14" t="s">
        <v>145</v>
      </c>
      <c r="C18" s="14" t="s">
        <v>145</v>
      </c>
      <c r="D18" s="14" t="s">
        <v>145</v>
      </c>
      <c r="E18" s="14" t="s">
        <v>145</v>
      </c>
      <c r="F18" s="39" t="s">
        <v>145</v>
      </c>
      <c r="G18" s="22" t="s">
        <v>145</v>
      </c>
      <c r="H18" s="14" t="s">
        <v>145</v>
      </c>
      <c r="I18" s="14" t="s">
        <v>145</v>
      </c>
      <c r="J18" s="14" t="s">
        <v>145</v>
      </c>
      <c r="K18" s="14" t="s">
        <v>145</v>
      </c>
      <c r="L18" s="14" t="s">
        <v>145</v>
      </c>
      <c r="M18" s="14" t="s">
        <v>145</v>
      </c>
      <c r="N18" s="41" t="s">
        <v>145</v>
      </c>
    </row>
    <row r="19" spans="1:14" x14ac:dyDescent="0.3">
      <c r="A19" s="39" t="s">
        <v>145</v>
      </c>
      <c r="B19" s="14" t="s">
        <v>145</v>
      </c>
      <c r="C19" s="14" t="s">
        <v>145</v>
      </c>
      <c r="D19" s="14" t="s">
        <v>145</v>
      </c>
      <c r="E19" s="14" t="s">
        <v>145</v>
      </c>
      <c r="F19" s="39" t="s">
        <v>145</v>
      </c>
      <c r="G19" s="22" t="s">
        <v>145</v>
      </c>
      <c r="H19" s="14" t="s">
        <v>145</v>
      </c>
      <c r="I19" s="14" t="s">
        <v>145</v>
      </c>
      <c r="J19" s="14" t="s">
        <v>145</v>
      </c>
      <c r="K19" s="14" t="s">
        <v>145</v>
      </c>
      <c r="L19" s="14" t="s">
        <v>145</v>
      </c>
      <c r="M19" s="14" t="s">
        <v>145</v>
      </c>
      <c r="N19" s="41" t="s">
        <v>145</v>
      </c>
    </row>
    <row r="20" spans="1:14" x14ac:dyDescent="0.3">
      <c r="A20" s="39" t="s">
        <v>145</v>
      </c>
      <c r="B20" s="14" t="s">
        <v>145</v>
      </c>
      <c r="C20" s="14" t="s">
        <v>145</v>
      </c>
      <c r="D20" s="14" t="s">
        <v>145</v>
      </c>
      <c r="E20" s="14" t="s">
        <v>145</v>
      </c>
      <c r="F20" s="39" t="s">
        <v>145</v>
      </c>
      <c r="G20" s="22" t="s">
        <v>145</v>
      </c>
      <c r="H20" s="14" t="s">
        <v>145</v>
      </c>
      <c r="I20" s="14" t="s">
        <v>145</v>
      </c>
      <c r="J20" s="14" t="s">
        <v>145</v>
      </c>
      <c r="K20" s="14" t="s">
        <v>145</v>
      </c>
      <c r="L20" s="14" t="s">
        <v>145</v>
      </c>
      <c r="M20" s="14" t="s">
        <v>145</v>
      </c>
      <c r="N20" s="41" t="s">
        <v>145</v>
      </c>
    </row>
    <row r="21" spans="1:14" x14ac:dyDescent="0.3">
      <c r="A21" s="39" t="s">
        <v>145</v>
      </c>
      <c r="B21" s="14" t="s">
        <v>145</v>
      </c>
      <c r="C21" s="14" t="s">
        <v>145</v>
      </c>
      <c r="D21" s="14" t="s">
        <v>145</v>
      </c>
      <c r="E21" s="14" t="s">
        <v>145</v>
      </c>
      <c r="F21" s="39" t="s">
        <v>145</v>
      </c>
      <c r="G21" s="22" t="s">
        <v>145</v>
      </c>
      <c r="H21" s="14" t="s">
        <v>145</v>
      </c>
      <c r="I21" s="14" t="s">
        <v>145</v>
      </c>
      <c r="J21" s="14" t="s">
        <v>145</v>
      </c>
      <c r="K21" s="14" t="s">
        <v>145</v>
      </c>
      <c r="L21" s="14" t="s">
        <v>145</v>
      </c>
      <c r="M21" s="14" t="s">
        <v>145</v>
      </c>
      <c r="N21" s="41" t="s">
        <v>145</v>
      </c>
    </row>
    <row r="22" spans="1:14" x14ac:dyDescent="0.3">
      <c r="A22" s="39" t="s">
        <v>145</v>
      </c>
      <c r="B22" s="14" t="s">
        <v>145</v>
      </c>
      <c r="C22" s="14" t="s">
        <v>145</v>
      </c>
      <c r="D22" s="14" t="s">
        <v>145</v>
      </c>
      <c r="E22" s="14" t="s">
        <v>145</v>
      </c>
      <c r="F22" s="39" t="s">
        <v>145</v>
      </c>
      <c r="G22" s="22" t="s">
        <v>145</v>
      </c>
      <c r="H22" s="14" t="s">
        <v>145</v>
      </c>
      <c r="I22" s="14" t="s">
        <v>145</v>
      </c>
      <c r="J22" s="14" t="s">
        <v>145</v>
      </c>
      <c r="K22" s="14" t="s">
        <v>145</v>
      </c>
      <c r="L22" s="14" t="s">
        <v>145</v>
      </c>
      <c r="M22" s="14" t="s">
        <v>145</v>
      </c>
      <c r="N22" s="41" t="s">
        <v>145</v>
      </c>
    </row>
    <row r="23" spans="1:14" x14ac:dyDescent="0.3">
      <c r="A23" s="39" t="s">
        <v>145</v>
      </c>
      <c r="B23" s="14" t="s">
        <v>145</v>
      </c>
      <c r="C23" s="14" t="s">
        <v>145</v>
      </c>
      <c r="D23" s="14" t="s">
        <v>145</v>
      </c>
      <c r="E23" s="14" t="s">
        <v>145</v>
      </c>
      <c r="F23" s="39" t="s">
        <v>145</v>
      </c>
      <c r="G23" s="22" t="s">
        <v>145</v>
      </c>
      <c r="H23" s="14" t="s">
        <v>145</v>
      </c>
      <c r="I23" s="14" t="s">
        <v>145</v>
      </c>
      <c r="J23" s="14" t="s">
        <v>145</v>
      </c>
      <c r="K23" s="14" t="s">
        <v>145</v>
      </c>
      <c r="L23" s="14" t="s">
        <v>145</v>
      </c>
      <c r="M23" s="14" t="s">
        <v>145</v>
      </c>
      <c r="N23" s="41" t="s">
        <v>145</v>
      </c>
    </row>
    <row r="24" spans="1:14" x14ac:dyDescent="0.3">
      <c r="A24" s="39" t="s">
        <v>145</v>
      </c>
      <c r="B24" s="14" t="s">
        <v>145</v>
      </c>
      <c r="C24" s="14" t="s">
        <v>145</v>
      </c>
      <c r="D24" s="14" t="s">
        <v>145</v>
      </c>
      <c r="E24" s="14" t="s">
        <v>145</v>
      </c>
      <c r="F24" s="39" t="s">
        <v>145</v>
      </c>
      <c r="G24" s="22" t="s">
        <v>145</v>
      </c>
      <c r="H24" s="14" t="s">
        <v>145</v>
      </c>
      <c r="I24" s="14" t="s">
        <v>145</v>
      </c>
      <c r="J24" s="14" t="s">
        <v>145</v>
      </c>
      <c r="K24" s="14" t="s">
        <v>145</v>
      </c>
      <c r="L24" s="14" t="s">
        <v>145</v>
      </c>
      <c r="M24" s="14" t="s">
        <v>145</v>
      </c>
      <c r="N24" s="41" t="s">
        <v>145</v>
      </c>
    </row>
    <row r="25" spans="1:14" x14ac:dyDescent="0.3">
      <c r="A25" s="39" t="s">
        <v>145</v>
      </c>
      <c r="B25" s="14" t="s">
        <v>145</v>
      </c>
      <c r="C25" s="14" t="s">
        <v>145</v>
      </c>
      <c r="D25" s="14" t="s">
        <v>145</v>
      </c>
      <c r="E25" s="14" t="s">
        <v>145</v>
      </c>
      <c r="F25" s="39" t="s">
        <v>145</v>
      </c>
      <c r="G25" s="14" t="s">
        <v>145</v>
      </c>
      <c r="H25" s="14" t="s">
        <v>145</v>
      </c>
      <c r="I25" s="14" t="s">
        <v>145</v>
      </c>
      <c r="J25" s="14" t="s">
        <v>145</v>
      </c>
      <c r="K25" s="14" t="s">
        <v>145</v>
      </c>
      <c r="L25" s="14" t="s">
        <v>145</v>
      </c>
      <c r="M25" s="14" t="s">
        <v>145</v>
      </c>
      <c r="N25" s="41" t="s">
        <v>145</v>
      </c>
    </row>
    <row r="26" spans="1:14" x14ac:dyDescent="0.3">
      <c r="A26" s="39" t="s">
        <v>145</v>
      </c>
      <c r="B26" s="14" t="s">
        <v>145</v>
      </c>
      <c r="C26" s="14" t="s">
        <v>145</v>
      </c>
      <c r="D26" s="14" t="s">
        <v>145</v>
      </c>
      <c r="E26" s="14" t="s">
        <v>145</v>
      </c>
      <c r="F26" s="39" t="s">
        <v>145</v>
      </c>
      <c r="G26" s="14" t="s">
        <v>145</v>
      </c>
      <c r="H26" s="14" t="s">
        <v>145</v>
      </c>
      <c r="I26" s="14" t="s">
        <v>145</v>
      </c>
      <c r="J26" s="14" t="s">
        <v>145</v>
      </c>
      <c r="K26" s="14" t="s">
        <v>145</v>
      </c>
      <c r="L26" s="14" t="s">
        <v>145</v>
      </c>
      <c r="M26" s="14" t="s">
        <v>145</v>
      </c>
      <c r="N26" s="41" t="s">
        <v>145</v>
      </c>
    </row>
    <row r="27" spans="1:14" x14ac:dyDescent="0.3">
      <c r="A27" s="39" t="s">
        <v>145</v>
      </c>
      <c r="B27" s="14" t="s">
        <v>145</v>
      </c>
      <c r="C27" s="14" t="s">
        <v>145</v>
      </c>
      <c r="D27" s="14" t="s">
        <v>145</v>
      </c>
      <c r="E27" s="14" t="s">
        <v>145</v>
      </c>
      <c r="F27" s="39" t="s">
        <v>145</v>
      </c>
      <c r="G27" s="14" t="s">
        <v>145</v>
      </c>
      <c r="H27" s="14" t="s">
        <v>145</v>
      </c>
      <c r="I27" s="14" t="s">
        <v>145</v>
      </c>
      <c r="J27" s="14" t="s">
        <v>145</v>
      </c>
      <c r="K27" s="14" t="s">
        <v>145</v>
      </c>
      <c r="L27" s="14" t="s">
        <v>145</v>
      </c>
      <c r="M27" s="14" t="s">
        <v>145</v>
      </c>
      <c r="N27" s="41" t="s">
        <v>145</v>
      </c>
    </row>
    <row r="28" spans="1:14" x14ac:dyDescent="0.3">
      <c r="A28" s="39" t="s">
        <v>145</v>
      </c>
      <c r="B28" s="14" t="s">
        <v>145</v>
      </c>
      <c r="C28" s="14" t="s">
        <v>145</v>
      </c>
      <c r="D28" s="14" t="s">
        <v>145</v>
      </c>
      <c r="E28" s="14" t="s">
        <v>145</v>
      </c>
      <c r="F28" s="39" t="s">
        <v>145</v>
      </c>
      <c r="G28" s="14" t="s">
        <v>145</v>
      </c>
      <c r="H28" s="14" t="s">
        <v>145</v>
      </c>
      <c r="I28" s="14" t="s">
        <v>145</v>
      </c>
      <c r="J28" s="14" t="s">
        <v>145</v>
      </c>
      <c r="K28" s="14" t="s">
        <v>145</v>
      </c>
      <c r="L28" s="14" t="s">
        <v>145</v>
      </c>
      <c r="M28" s="14" t="s">
        <v>145</v>
      </c>
      <c r="N28" s="41" t="s">
        <v>145</v>
      </c>
    </row>
    <row r="29" spans="1:14" x14ac:dyDescent="0.3">
      <c r="A29" s="39" t="s">
        <v>145</v>
      </c>
      <c r="B29" s="14" t="s">
        <v>145</v>
      </c>
      <c r="C29" s="14" t="s">
        <v>145</v>
      </c>
      <c r="D29" s="14" t="s">
        <v>145</v>
      </c>
      <c r="E29" s="14" t="s">
        <v>145</v>
      </c>
      <c r="F29" s="39" t="s">
        <v>145</v>
      </c>
      <c r="G29" s="14" t="s">
        <v>145</v>
      </c>
      <c r="H29" s="14" t="s">
        <v>145</v>
      </c>
      <c r="I29" s="14" t="s">
        <v>145</v>
      </c>
      <c r="J29" s="14" t="s">
        <v>145</v>
      </c>
      <c r="K29" s="14" t="s">
        <v>145</v>
      </c>
      <c r="L29" s="14" t="s">
        <v>145</v>
      </c>
      <c r="M29" s="14" t="s">
        <v>145</v>
      </c>
      <c r="N29" s="41" t="s">
        <v>145</v>
      </c>
    </row>
    <row r="30" spans="1:14" x14ac:dyDescent="0.3">
      <c r="A30" s="39" t="s">
        <v>145</v>
      </c>
      <c r="B30" s="14" t="s">
        <v>145</v>
      </c>
      <c r="C30" s="14" t="s">
        <v>145</v>
      </c>
      <c r="D30" s="14" t="s">
        <v>145</v>
      </c>
      <c r="E30" s="14" t="s">
        <v>145</v>
      </c>
      <c r="F30" s="39" t="s">
        <v>145</v>
      </c>
      <c r="G30" s="14" t="s">
        <v>145</v>
      </c>
      <c r="H30" s="14" t="s">
        <v>145</v>
      </c>
      <c r="I30" s="14" t="s">
        <v>145</v>
      </c>
      <c r="J30" s="14" t="s">
        <v>145</v>
      </c>
      <c r="K30" s="14" t="s">
        <v>145</v>
      </c>
      <c r="L30" s="14" t="s">
        <v>145</v>
      </c>
      <c r="M30" s="14" t="s">
        <v>145</v>
      </c>
      <c r="N30" s="41" t="s">
        <v>145</v>
      </c>
    </row>
    <row r="31" spans="1:14" x14ac:dyDescent="0.3">
      <c r="A31" s="39" t="s">
        <v>145</v>
      </c>
      <c r="B31" s="14" t="s">
        <v>145</v>
      </c>
      <c r="C31" s="14" t="s">
        <v>145</v>
      </c>
      <c r="D31" s="14" t="s">
        <v>145</v>
      </c>
      <c r="E31" s="14" t="s">
        <v>145</v>
      </c>
      <c r="F31" s="39" t="s">
        <v>145</v>
      </c>
      <c r="G31" s="14" t="s">
        <v>145</v>
      </c>
      <c r="H31" s="14" t="s">
        <v>145</v>
      </c>
      <c r="I31" s="14" t="s">
        <v>145</v>
      </c>
      <c r="J31" s="14" t="s">
        <v>145</v>
      </c>
      <c r="K31" s="14" t="s">
        <v>145</v>
      </c>
      <c r="L31" s="14" t="s">
        <v>145</v>
      </c>
      <c r="M31" s="14" t="s">
        <v>145</v>
      </c>
      <c r="N31" s="41" t="s">
        <v>145</v>
      </c>
    </row>
    <row r="32" spans="1:14" x14ac:dyDescent="0.3">
      <c r="A32" s="39" t="s">
        <v>145</v>
      </c>
      <c r="B32" s="14" t="s">
        <v>145</v>
      </c>
      <c r="C32" s="14" t="s">
        <v>145</v>
      </c>
      <c r="D32" s="14" t="s">
        <v>145</v>
      </c>
      <c r="E32" s="14" t="s">
        <v>145</v>
      </c>
      <c r="F32" s="39" t="s">
        <v>145</v>
      </c>
      <c r="G32" s="14" t="s">
        <v>145</v>
      </c>
      <c r="H32" s="14" t="s">
        <v>145</v>
      </c>
      <c r="I32" s="14" t="s">
        <v>145</v>
      </c>
      <c r="J32" s="14" t="s">
        <v>145</v>
      </c>
      <c r="K32" s="14" t="s">
        <v>145</v>
      </c>
      <c r="L32" s="14" t="s">
        <v>145</v>
      </c>
      <c r="M32" s="14" t="s">
        <v>145</v>
      </c>
      <c r="N32" s="41" t="s">
        <v>145</v>
      </c>
    </row>
    <row r="33" spans="1:14" x14ac:dyDescent="0.3">
      <c r="A33" s="39" t="s">
        <v>145</v>
      </c>
      <c r="B33" s="14" t="s">
        <v>145</v>
      </c>
      <c r="C33" s="14" t="s">
        <v>145</v>
      </c>
      <c r="D33" s="14" t="s">
        <v>145</v>
      </c>
      <c r="E33" s="14" t="s">
        <v>145</v>
      </c>
      <c r="F33" s="39" t="s">
        <v>145</v>
      </c>
      <c r="G33" s="14" t="s">
        <v>145</v>
      </c>
      <c r="H33" s="14" t="s">
        <v>145</v>
      </c>
      <c r="I33" s="14" t="s">
        <v>145</v>
      </c>
      <c r="J33" s="14" t="s">
        <v>145</v>
      </c>
      <c r="K33" s="14" t="s">
        <v>145</v>
      </c>
      <c r="L33" s="14" t="s">
        <v>145</v>
      </c>
      <c r="M33" s="14" t="s">
        <v>145</v>
      </c>
      <c r="N33" s="41" t="s">
        <v>145</v>
      </c>
    </row>
    <row r="34" spans="1:14" x14ac:dyDescent="0.3">
      <c r="A34" s="39" t="s">
        <v>145</v>
      </c>
      <c r="B34" s="14" t="s">
        <v>145</v>
      </c>
      <c r="C34" s="14" t="s">
        <v>145</v>
      </c>
      <c r="D34" s="14" t="s">
        <v>145</v>
      </c>
      <c r="E34" s="14" t="s">
        <v>145</v>
      </c>
      <c r="F34" s="39" t="s">
        <v>145</v>
      </c>
      <c r="G34" s="14" t="s">
        <v>145</v>
      </c>
      <c r="H34" s="14" t="s">
        <v>145</v>
      </c>
      <c r="I34" s="14" t="s">
        <v>145</v>
      </c>
      <c r="J34" s="14" t="s">
        <v>145</v>
      </c>
      <c r="K34" s="14" t="s">
        <v>145</v>
      </c>
      <c r="L34" s="14" t="s">
        <v>145</v>
      </c>
      <c r="M34" s="14" t="s">
        <v>145</v>
      </c>
      <c r="N34" s="41" t="s">
        <v>145</v>
      </c>
    </row>
    <row r="35" spans="1:14" x14ac:dyDescent="0.3">
      <c r="A35" s="39" t="s">
        <v>145</v>
      </c>
      <c r="B35" s="14" t="s">
        <v>145</v>
      </c>
      <c r="C35" s="14" t="s">
        <v>145</v>
      </c>
      <c r="D35" s="14" t="s">
        <v>145</v>
      </c>
      <c r="E35" s="14" t="s">
        <v>145</v>
      </c>
      <c r="F35" s="39" t="s">
        <v>145</v>
      </c>
      <c r="G35" s="14" t="s">
        <v>145</v>
      </c>
      <c r="H35" s="14" t="s">
        <v>145</v>
      </c>
      <c r="I35" s="14" t="s">
        <v>145</v>
      </c>
      <c r="J35" s="14" t="s">
        <v>145</v>
      </c>
      <c r="K35" s="14" t="s">
        <v>145</v>
      </c>
      <c r="L35" s="14" t="s">
        <v>145</v>
      </c>
      <c r="M35" s="14" t="s">
        <v>145</v>
      </c>
      <c r="N35" s="41" t="s">
        <v>145</v>
      </c>
    </row>
    <row r="36" spans="1:14" x14ac:dyDescent="0.3">
      <c r="A36" s="39" t="s">
        <v>145</v>
      </c>
      <c r="B36" s="14" t="s">
        <v>145</v>
      </c>
      <c r="C36" s="14" t="s">
        <v>145</v>
      </c>
      <c r="D36" s="14" t="s">
        <v>145</v>
      </c>
      <c r="E36" s="14" t="s">
        <v>145</v>
      </c>
      <c r="F36" s="39" t="s">
        <v>145</v>
      </c>
      <c r="G36" s="14" t="s">
        <v>145</v>
      </c>
      <c r="H36" s="14" t="s">
        <v>145</v>
      </c>
      <c r="I36" s="14" t="s">
        <v>145</v>
      </c>
      <c r="J36" s="14" t="s">
        <v>145</v>
      </c>
      <c r="K36" s="14" t="s">
        <v>145</v>
      </c>
      <c r="L36" s="14" t="s">
        <v>145</v>
      </c>
      <c r="M36" s="14" t="s">
        <v>145</v>
      </c>
      <c r="N36" s="41" t="s">
        <v>145</v>
      </c>
    </row>
    <row r="37" spans="1:14" x14ac:dyDescent="0.3">
      <c r="A37" s="39" t="s">
        <v>145</v>
      </c>
      <c r="B37" s="14" t="s">
        <v>145</v>
      </c>
      <c r="C37" s="14" t="s">
        <v>145</v>
      </c>
      <c r="D37" s="14" t="s">
        <v>145</v>
      </c>
      <c r="E37" s="14" t="s">
        <v>145</v>
      </c>
      <c r="F37" s="39" t="s">
        <v>145</v>
      </c>
      <c r="G37" s="14" t="s">
        <v>145</v>
      </c>
      <c r="H37" s="14" t="s">
        <v>145</v>
      </c>
      <c r="I37" s="14" t="s">
        <v>145</v>
      </c>
      <c r="J37" s="14" t="s">
        <v>145</v>
      </c>
      <c r="K37" s="14" t="s">
        <v>145</v>
      </c>
      <c r="L37" s="14" t="s">
        <v>145</v>
      </c>
      <c r="M37" s="14" t="s">
        <v>145</v>
      </c>
      <c r="N37" s="41" t="s">
        <v>145</v>
      </c>
    </row>
    <row r="38" spans="1:14" x14ac:dyDescent="0.3">
      <c r="A38" s="39" t="s">
        <v>145</v>
      </c>
      <c r="B38" s="14" t="s">
        <v>145</v>
      </c>
      <c r="C38" s="14" t="s">
        <v>145</v>
      </c>
      <c r="D38" s="14" t="s">
        <v>145</v>
      </c>
      <c r="E38" s="14" t="s">
        <v>145</v>
      </c>
      <c r="F38" s="39" t="s">
        <v>145</v>
      </c>
      <c r="G38" s="14" t="s">
        <v>145</v>
      </c>
      <c r="H38" s="14" t="s">
        <v>145</v>
      </c>
      <c r="I38" s="14" t="s">
        <v>145</v>
      </c>
      <c r="J38" s="14" t="s">
        <v>145</v>
      </c>
      <c r="K38" s="14" t="s">
        <v>145</v>
      </c>
      <c r="L38" s="14" t="s">
        <v>145</v>
      </c>
      <c r="M38" s="14" t="s">
        <v>145</v>
      </c>
      <c r="N38" s="41" t="s">
        <v>145</v>
      </c>
    </row>
    <row r="39" spans="1:14" x14ac:dyDescent="0.3">
      <c r="A39" s="39" t="s">
        <v>145</v>
      </c>
      <c r="B39" s="14" t="s">
        <v>145</v>
      </c>
      <c r="C39" s="14" t="s">
        <v>145</v>
      </c>
      <c r="D39" s="14" t="s">
        <v>145</v>
      </c>
      <c r="E39" s="14" t="s">
        <v>145</v>
      </c>
      <c r="F39" s="39" t="s">
        <v>145</v>
      </c>
      <c r="G39" s="14" t="s">
        <v>145</v>
      </c>
      <c r="H39" s="14" t="s">
        <v>145</v>
      </c>
      <c r="I39" s="14" t="s">
        <v>145</v>
      </c>
      <c r="J39" s="14" t="s">
        <v>145</v>
      </c>
      <c r="K39" s="14" t="s">
        <v>145</v>
      </c>
      <c r="L39" s="14" t="s">
        <v>145</v>
      </c>
      <c r="M39" s="14" t="s">
        <v>145</v>
      </c>
      <c r="N39" s="41" t="s">
        <v>145</v>
      </c>
    </row>
    <row r="40" spans="1:14" x14ac:dyDescent="0.3">
      <c r="A40" s="39" t="s">
        <v>145</v>
      </c>
      <c r="B40" s="14" t="s">
        <v>145</v>
      </c>
      <c r="C40" s="14" t="s">
        <v>145</v>
      </c>
      <c r="D40" s="14" t="s">
        <v>145</v>
      </c>
      <c r="E40" s="14" t="s">
        <v>145</v>
      </c>
      <c r="F40" s="39" t="s">
        <v>145</v>
      </c>
      <c r="G40" s="14" t="s">
        <v>145</v>
      </c>
      <c r="H40" s="14" t="s">
        <v>145</v>
      </c>
      <c r="I40" s="14" t="s">
        <v>145</v>
      </c>
      <c r="J40" s="14" t="s">
        <v>145</v>
      </c>
      <c r="K40" s="14" t="s">
        <v>145</v>
      </c>
      <c r="L40" s="14" t="s">
        <v>145</v>
      </c>
      <c r="M40" s="14" t="s">
        <v>145</v>
      </c>
      <c r="N40" s="41" t="s">
        <v>145</v>
      </c>
    </row>
    <row r="41" spans="1:14" x14ac:dyDescent="0.3">
      <c r="A41" s="39" t="s">
        <v>145</v>
      </c>
      <c r="B41" s="14" t="s">
        <v>145</v>
      </c>
      <c r="C41" s="14" t="s">
        <v>145</v>
      </c>
      <c r="D41" s="14" t="s">
        <v>145</v>
      </c>
      <c r="E41" s="14" t="s">
        <v>145</v>
      </c>
      <c r="F41" s="39" t="s">
        <v>145</v>
      </c>
      <c r="G41" s="14" t="s">
        <v>145</v>
      </c>
      <c r="H41" s="14" t="s">
        <v>145</v>
      </c>
      <c r="I41" s="14" t="s">
        <v>145</v>
      </c>
      <c r="J41" s="14" t="s">
        <v>145</v>
      </c>
      <c r="K41" s="14" t="s">
        <v>145</v>
      </c>
      <c r="L41" s="14" t="s">
        <v>145</v>
      </c>
      <c r="M41" s="14" t="s">
        <v>145</v>
      </c>
      <c r="N41" s="41" t="s">
        <v>145</v>
      </c>
    </row>
    <row r="42" spans="1:14" x14ac:dyDescent="0.3">
      <c r="A42" s="39" t="s">
        <v>145</v>
      </c>
      <c r="B42" s="14" t="s">
        <v>145</v>
      </c>
      <c r="C42" s="14" t="s">
        <v>145</v>
      </c>
      <c r="D42" s="14" t="s">
        <v>145</v>
      </c>
      <c r="E42" s="14" t="s">
        <v>145</v>
      </c>
      <c r="F42" s="39" t="s">
        <v>145</v>
      </c>
      <c r="G42" s="14" t="s">
        <v>145</v>
      </c>
      <c r="H42" s="14" t="s">
        <v>145</v>
      </c>
      <c r="I42" s="14" t="s">
        <v>145</v>
      </c>
      <c r="J42" s="14" t="s">
        <v>145</v>
      </c>
      <c r="K42" s="14" t="s">
        <v>145</v>
      </c>
      <c r="L42" s="14" t="s">
        <v>145</v>
      </c>
      <c r="M42" s="14" t="s">
        <v>145</v>
      </c>
      <c r="N42" s="41" t="s">
        <v>145</v>
      </c>
    </row>
    <row r="43" spans="1:14" x14ac:dyDescent="0.3">
      <c r="A43" s="39" t="s">
        <v>145</v>
      </c>
      <c r="B43" s="14" t="s">
        <v>145</v>
      </c>
      <c r="C43" s="14" t="s">
        <v>145</v>
      </c>
      <c r="D43" s="14" t="s">
        <v>145</v>
      </c>
      <c r="E43" s="14" t="s">
        <v>145</v>
      </c>
      <c r="F43" s="39" t="s">
        <v>145</v>
      </c>
      <c r="G43" s="14" t="s">
        <v>145</v>
      </c>
      <c r="H43" s="14" t="s">
        <v>145</v>
      </c>
      <c r="I43" s="14" t="s">
        <v>145</v>
      </c>
      <c r="J43" s="14" t="s">
        <v>145</v>
      </c>
      <c r="K43" s="14" t="s">
        <v>145</v>
      </c>
      <c r="L43" s="14" t="s">
        <v>145</v>
      </c>
      <c r="M43" s="14" t="s">
        <v>145</v>
      </c>
      <c r="N43" s="41" t="s">
        <v>145</v>
      </c>
    </row>
    <row r="44" spans="1:14" x14ac:dyDescent="0.3">
      <c r="A44" s="39" t="s">
        <v>145</v>
      </c>
      <c r="B44" s="14" t="s">
        <v>145</v>
      </c>
      <c r="C44" s="14" t="s">
        <v>145</v>
      </c>
      <c r="D44" s="14" t="s">
        <v>145</v>
      </c>
      <c r="E44" s="14" t="s">
        <v>145</v>
      </c>
      <c r="F44" s="39" t="s">
        <v>145</v>
      </c>
      <c r="G44" s="14" t="s">
        <v>145</v>
      </c>
      <c r="H44" s="14" t="s">
        <v>145</v>
      </c>
      <c r="I44" s="14" t="s">
        <v>145</v>
      </c>
      <c r="J44" s="14" t="s">
        <v>145</v>
      </c>
      <c r="K44" s="14" t="s">
        <v>145</v>
      </c>
      <c r="L44" s="14" t="s">
        <v>145</v>
      </c>
      <c r="M44" s="14" t="s">
        <v>145</v>
      </c>
      <c r="N44" s="41" t="s">
        <v>145</v>
      </c>
    </row>
    <row r="45" spans="1:14" x14ac:dyDescent="0.3">
      <c r="A45" s="39" t="s">
        <v>145</v>
      </c>
      <c r="B45" s="14" t="s">
        <v>145</v>
      </c>
      <c r="C45" s="14" t="s">
        <v>145</v>
      </c>
      <c r="D45" s="14" t="s">
        <v>145</v>
      </c>
      <c r="E45" s="14" t="s">
        <v>145</v>
      </c>
      <c r="F45" s="39" t="s">
        <v>145</v>
      </c>
      <c r="G45" s="14" t="s">
        <v>145</v>
      </c>
      <c r="H45" s="14" t="s">
        <v>145</v>
      </c>
      <c r="I45" s="14" t="s">
        <v>145</v>
      </c>
      <c r="J45" s="14" t="s">
        <v>145</v>
      </c>
      <c r="K45" s="14" t="s">
        <v>145</v>
      </c>
      <c r="L45" s="14" t="s">
        <v>145</v>
      </c>
      <c r="M45" s="14" t="s">
        <v>145</v>
      </c>
      <c r="N45" s="41" t="s">
        <v>145</v>
      </c>
    </row>
    <row r="46" spans="1:14" x14ac:dyDescent="0.3">
      <c r="A46" s="39" t="s">
        <v>145</v>
      </c>
      <c r="B46" s="14" t="s">
        <v>145</v>
      </c>
      <c r="C46" s="14" t="s">
        <v>145</v>
      </c>
      <c r="D46" s="14" t="s">
        <v>145</v>
      </c>
      <c r="E46" s="14" t="s">
        <v>145</v>
      </c>
      <c r="F46" s="39" t="s">
        <v>145</v>
      </c>
      <c r="G46" s="14" t="s">
        <v>145</v>
      </c>
      <c r="H46" s="14" t="s">
        <v>145</v>
      </c>
      <c r="I46" s="14" t="s">
        <v>145</v>
      </c>
      <c r="J46" s="14" t="s">
        <v>145</v>
      </c>
      <c r="K46" s="14" t="s">
        <v>145</v>
      </c>
      <c r="L46" s="14" t="s">
        <v>145</v>
      </c>
      <c r="M46" s="14" t="s">
        <v>145</v>
      </c>
      <c r="N46" s="41" t="s">
        <v>145</v>
      </c>
    </row>
    <row r="47" spans="1:14" x14ac:dyDescent="0.3">
      <c r="A47" s="39" t="s">
        <v>145</v>
      </c>
      <c r="B47" s="14" t="s">
        <v>145</v>
      </c>
      <c r="C47" s="14" t="s">
        <v>145</v>
      </c>
      <c r="D47" s="14" t="s">
        <v>145</v>
      </c>
      <c r="E47" s="14" t="s">
        <v>145</v>
      </c>
      <c r="F47" s="39" t="s">
        <v>145</v>
      </c>
      <c r="G47" s="14" t="s">
        <v>145</v>
      </c>
      <c r="H47" s="14" t="s">
        <v>145</v>
      </c>
      <c r="I47" s="14" t="s">
        <v>145</v>
      </c>
      <c r="J47" s="14" t="s">
        <v>145</v>
      </c>
      <c r="K47" s="14" t="s">
        <v>145</v>
      </c>
      <c r="L47" s="14" t="s">
        <v>145</v>
      </c>
      <c r="M47" s="14" t="s">
        <v>145</v>
      </c>
      <c r="N47" s="41" t="s">
        <v>145</v>
      </c>
    </row>
    <row r="48" spans="1:14" x14ac:dyDescent="0.3">
      <c r="A48" s="39" t="s">
        <v>145</v>
      </c>
      <c r="B48" s="14" t="s">
        <v>145</v>
      </c>
      <c r="C48" s="14" t="s">
        <v>145</v>
      </c>
      <c r="D48" s="14" t="s">
        <v>145</v>
      </c>
      <c r="E48" s="14" t="s">
        <v>145</v>
      </c>
      <c r="F48" s="39" t="s">
        <v>145</v>
      </c>
      <c r="G48" s="14" t="s">
        <v>145</v>
      </c>
      <c r="H48" s="14" t="s">
        <v>145</v>
      </c>
      <c r="I48" s="14" t="s">
        <v>145</v>
      </c>
      <c r="J48" s="14" t="s">
        <v>145</v>
      </c>
      <c r="K48" s="14" t="s">
        <v>145</v>
      </c>
      <c r="L48" s="14" t="s">
        <v>145</v>
      </c>
      <c r="M48" s="14" t="s">
        <v>145</v>
      </c>
      <c r="N48" s="41" t="s">
        <v>145</v>
      </c>
    </row>
    <row r="49" spans="1:14" x14ac:dyDescent="0.3">
      <c r="A49" s="39" t="s">
        <v>145</v>
      </c>
      <c r="B49" s="14" t="s">
        <v>145</v>
      </c>
      <c r="C49" s="14" t="s">
        <v>145</v>
      </c>
      <c r="D49" s="14" t="s">
        <v>145</v>
      </c>
      <c r="E49" s="14" t="s">
        <v>145</v>
      </c>
      <c r="F49" s="39" t="s">
        <v>145</v>
      </c>
      <c r="G49" s="14" t="s">
        <v>145</v>
      </c>
      <c r="H49" s="14" t="s">
        <v>145</v>
      </c>
      <c r="I49" s="14" t="s">
        <v>145</v>
      </c>
      <c r="J49" s="14" t="s">
        <v>145</v>
      </c>
      <c r="K49" s="14" t="s">
        <v>145</v>
      </c>
      <c r="L49" s="14" t="s">
        <v>145</v>
      </c>
      <c r="M49" s="14" t="s">
        <v>145</v>
      </c>
      <c r="N49" s="41" t="s">
        <v>145</v>
      </c>
    </row>
    <row r="50" spans="1:14" x14ac:dyDescent="0.3">
      <c r="A50" s="39" t="s">
        <v>145</v>
      </c>
      <c r="B50" s="14" t="s">
        <v>145</v>
      </c>
      <c r="C50" s="14" t="s">
        <v>145</v>
      </c>
      <c r="D50" s="14" t="s">
        <v>145</v>
      </c>
      <c r="E50" s="14" t="s">
        <v>145</v>
      </c>
      <c r="F50" s="39" t="s">
        <v>145</v>
      </c>
      <c r="G50" s="14" t="s">
        <v>145</v>
      </c>
      <c r="H50" s="14" t="s">
        <v>145</v>
      </c>
      <c r="I50" s="14" t="s">
        <v>145</v>
      </c>
      <c r="J50" s="14" t="s">
        <v>145</v>
      </c>
      <c r="K50" s="14" t="s">
        <v>145</v>
      </c>
      <c r="L50" s="14" t="s">
        <v>145</v>
      </c>
      <c r="M50" s="14" t="s">
        <v>145</v>
      </c>
      <c r="N50" s="41" t="s">
        <v>145</v>
      </c>
    </row>
    <row r="51" spans="1:14" x14ac:dyDescent="0.3">
      <c r="A51" s="39" t="s">
        <v>145</v>
      </c>
      <c r="B51" s="14" t="s">
        <v>145</v>
      </c>
      <c r="C51" s="14" t="s">
        <v>145</v>
      </c>
      <c r="D51" s="14" t="s">
        <v>145</v>
      </c>
      <c r="E51" s="14" t="s">
        <v>145</v>
      </c>
      <c r="F51" s="39" t="s">
        <v>145</v>
      </c>
      <c r="G51" s="14" t="s">
        <v>145</v>
      </c>
      <c r="H51" s="14" t="s">
        <v>145</v>
      </c>
      <c r="I51" s="14" t="s">
        <v>145</v>
      </c>
      <c r="J51" s="14" t="s">
        <v>145</v>
      </c>
      <c r="K51" s="14" t="s">
        <v>145</v>
      </c>
      <c r="L51" s="14" t="s">
        <v>145</v>
      </c>
      <c r="M51" s="14" t="s">
        <v>145</v>
      </c>
      <c r="N51" s="41" t="s">
        <v>145</v>
      </c>
    </row>
    <row r="52" spans="1:14" x14ac:dyDescent="0.3">
      <c r="A52" s="39" t="s">
        <v>145</v>
      </c>
      <c r="B52" s="14" t="s">
        <v>145</v>
      </c>
      <c r="C52" s="14" t="s">
        <v>145</v>
      </c>
      <c r="D52" s="14" t="s">
        <v>145</v>
      </c>
      <c r="E52" s="14" t="s">
        <v>145</v>
      </c>
      <c r="F52" s="39" t="s">
        <v>145</v>
      </c>
      <c r="G52" s="14" t="s">
        <v>145</v>
      </c>
      <c r="H52" s="14" t="s">
        <v>145</v>
      </c>
      <c r="I52" s="14" t="s">
        <v>145</v>
      </c>
      <c r="J52" s="14" t="s">
        <v>145</v>
      </c>
      <c r="K52" s="14" t="s">
        <v>145</v>
      </c>
      <c r="L52" s="14" t="s">
        <v>145</v>
      </c>
      <c r="M52" s="14" t="s">
        <v>145</v>
      </c>
      <c r="N52" s="41" t="s">
        <v>145</v>
      </c>
    </row>
    <row r="53" spans="1:14" x14ac:dyDescent="0.3">
      <c r="A53" s="39" t="s">
        <v>145</v>
      </c>
      <c r="B53" s="14" t="s">
        <v>145</v>
      </c>
      <c r="C53" s="14" t="s">
        <v>145</v>
      </c>
      <c r="D53" s="14" t="s">
        <v>145</v>
      </c>
      <c r="E53" s="14" t="s">
        <v>145</v>
      </c>
      <c r="F53" s="39" t="s">
        <v>145</v>
      </c>
      <c r="G53" s="14" t="s">
        <v>145</v>
      </c>
      <c r="H53" s="14" t="s">
        <v>145</v>
      </c>
      <c r="I53" s="14" t="s">
        <v>145</v>
      </c>
      <c r="J53" s="14" t="s">
        <v>145</v>
      </c>
      <c r="K53" s="14" t="s">
        <v>145</v>
      </c>
      <c r="L53" s="14" t="s">
        <v>145</v>
      </c>
      <c r="M53" s="14" t="s">
        <v>145</v>
      </c>
      <c r="N53" s="41" t="s">
        <v>145</v>
      </c>
    </row>
    <row r="54" spans="1:14" x14ac:dyDescent="0.3">
      <c r="A54" s="39" t="s">
        <v>145</v>
      </c>
      <c r="B54" s="14" t="s">
        <v>145</v>
      </c>
      <c r="C54" s="14" t="s">
        <v>145</v>
      </c>
      <c r="D54" s="14" t="s">
        <v>145</v>
      </c>
      <c r="E54" s="14" t="s">
        <v>145</v>
      </c>
      <c r="F54" s="39" t="s">
        <v>145</v>
      </c>
      <c r="G54" s="14" t="s">
        <v>145</v>
      </c>
      <c r="H54" s="14" t="s">
        <v>145</v>
      </c>
      <c r="I54" s="14" t="s">
        <v>145</v>
      </c>
      <c r="J54" s="14" t="s">
        <v>145</v>
      </c>
      <c r="K54" s="14" t="s">
        <v>145</v>
      </c>
      <c r="L54" s="14" t="s">
        <v>145</v>
      </c>
      <c r="M54" s="14" t="s">
        <v>145</v>
      </c>
      <c r="N54" s="41" t="s">
        <v>145</v>
      </c>
    </row>
    <row r="55" spans="1:14" x14ac:dyDescent="0.3">
      <c r="A55" s="39" t="s">
        <v>145</v>
      </c>
      <c r="B55" s="14" t="s">
        <v>145</v>
      </c>
      <c r="C55" s="14" t="s">
        <v>145</v>
      </c>
      <c r="D55" s="14" t="s">
        <v>145</v>
      </c>
      <c r="E55" s="14" t="s">
        <v>145</v>
      </c>
      <c r="F55" s="39" t="s">
        <v>145</v>
      </c>
      <c r="G55" s="14" t="s">
        <v>145</v>
      </c>
      <c r="H55" s="14" t="s">
        <v>145</v>
      </c>
      <c r="I55" s="14" t="s">
        <v>145</v>
      </c>
      <c r="J55" s="14" t="s">
        <v>145</v>
      </c>
      <c r="K55" s="14" t="s">
        <v>145</v>
      </c>
      <c r="L55" s="14" t="s">
        <v>145</v>
      </c>
      <c r="M55" s="14" t="s">
        <v>145</v>
      </c>
      <c r="N55" s="41" t="s">
        <v>145</v>
      </c>
    </row>
    <row r="56" spans="1:14" x14ac:dyDescent="0.3">
      <c r="A56" s="39" t="s">
        <v>145</v>
      </c>
      <c r="B56" s="14" t="s">
        <v>145</v>
      </c>
      <c r="C56" s="14" t="s">
        <v>145</v>
      </c>
      <c r="D56" s="14" t="s">
        <v>145</v>
      </c>
      <c r="E56" s="14" t="s">
        <v>145</v>
      </c>
      <c r="F56" s="39" t="s">
        <v>145</v>
      </c>
      <c r="G56" s="14" t="s">
        <v>145</v>
      </c>
      <c r="H56" s="14" t="s">
        <v>145</v>
      </c>
      <c r="I56" s="14" t="s">
        <v>145</v>
      </c>
      <c r="J56" s="14" t="s">
        <v>145</v>
      </c>
      <c r="K56" s="14" t="s">
        <v>145</v>
      </c>
      <c r="L56" s="14" t="s">
        <v>145</v>
      </c>
      <c r="M56" s="14" t="s">
        <v>145</v>
      </c>
      <c r="N56" s="41" t="s">
        <v>145</v>
      </c>
    </row>
    <row r="57" spans="1:14" x14ac:dyDescent="0.3">
      <c r="A57" s="39" t="s">
        <v>145</v>
      </c>
      <c r="B57" s="14" t="s">
        <v>145</v>
      </c>
      <c r="C57" s="14" t="s">
        <v>145</v>
      </c>
      <c r="D57" s="14" t="s">
        <v>145</v>
      </c>
      <c r="E57" s="14" t="s">
        <v>145</v>
      </c>
      <c r="F57" s="39" t="s">
        <v>145</v>
      </c>
      <c r="G57" s="14" t="s">
        <v>145</v>
      </c>
      <c r="H57" s="14" t="s">
        <v>145</v>
      </c>
      <c r="I57" s="14" t="s">
        <v>145</v>
      </c>
      <c r="J57" s="14" t="s">
        <v>145</v>
      </c>
      <c r="K57" s="14" t="s">
        <v>145</v>
      </c>
      <c r="L57" s="14" t="s">
        <v>145</v>
      </c>
      <c r="M57" s="14" t="s">
        <v>145</v>
      </c>
      <c r="N57" s="41" t="s">
        <v>145</v>
      </c>
    </row>
    <row r="58" spans="1:14" x14ac:dyDescent="0.3">
      <c r="A58" s="39" t="s">
        <v>145</v>
      </c>
      <c r="B58" s="14" t="s">
        <v>145</v>
      </c>
      <c r="C58" s="14" t="s">
        <v>145</v>
      </c>
      <c r="D58" s="14" t="s">
        <v>145</v>
      </c>
      <c r="E58" s="14" t="s">
        <v>145</v>
      </c>
      <c r="F58" s="39" t="s">
        <v>145</v>
      </c>
      <c r="G58" s="14" t="s">
        <v>145</v>
      </c>
      <c r="H58" s="14" t="s">
        <v>145</v>
      </c>
      <c r="I58" s="14" t="s">
        <v>145</v>
      </c>
      <c r="J58" s="14" t="s">
        <v>145</v>
      </c>
      <c r="K58" s="14" t="s">
        <v>145</v>
      </c>
      <c r="L58" s="14" t="s">
        <v>145</v>
      </c>
      <c r="M58" s="14" t="s">
        <v>145</v>
      </c>
      <c r="N58" s="41" t="s">
        <v>145</v>
      </c>
    </row>
    <row r="59" spans="1:14" x14ac:dyDescent="0.3">
      <c r="A59" s="39" t="s">
        <v>145</v>
      </c>
      <c r="B59" s="14" t="s">
        <v>145</v>
      </c>
      <c r="C59" s="14" t="s">
        <v>145</v>
      </c>
      <c r="D59" s="14" t="s">
        <v>145</v>
      </c>
      <c r="E59" s="14" t="s">
        <v>145</v>
      </c>
      <c r="F59" s="39" t="s">
        <v>145</v>
      </c>
      <c r="G59" s="14" t="s">
        <v>145</v>
      </c>
      <c r="H59" s="14" t="s">
        <v>145</v>
      </c>
      <c r="I59" s="14" t="s">
        <v>145</v>
      </c>
      <c r="J59" s="14" t="s">
        <v>145</v>
      </c>
      <c r="K59" s="14" t="s">
        <v>145</v>
      </c>
      <c r="L59" s="14" t="s">
        <v>145</v>
      </c>
      <c r="M59" s="14" t="s">
        <v>145</v>
      </c>
      <c r="N59" s="41" t="s">
        <v>145</v>
      </c>
    </row>
    <row r="60" spans="1:14" x14ac:dyDescent="0.3">
      <c r="A60" s="39" t="s">
        <v>145</v>
      </c>
      <c r="B60" s="14" t="s">
        <v>145</v>
      </c>
      <c r="C60" s="14" t="s">
        <v>145</v>
      </c>
      <c r="D60" s="14" t="s">
        <v>145</v>
      </c>
      <c r="E60" s="14" t="s">
        <v>145</v>
      </c>
      <c r="F60" s="39" t="s">
        <v>145</v>
      </c>
      <c r="G60" s="14" t="s">
        <v>145</v>
      </c>
      <c r="H60" s="14" t="s">
        <v>145</v>
      </c>
      <c r="I60" s="14" t="s">
        <v>145</v>
      </c>
      <c r="J60" s="14" t="s">
        <v>145</v>
      </c>
      <c r="K60" s="14" t="s">
        <v>145</v>
      </c>
      <c r="L60" s="14" t="s">
        <v>145</v>
      </c>
      <c r="M60" s="14" t="s">
        <v>145</v>
      </c>
      <c r="N60" s="41" t="s">
        <v>145</v>
      </c>
    </row>
    <row r="61" spans="1:14" x14ac:dyDescent="0.3">
      <c r="A61" s="39" t="s">
        <v>145</v>
      </c>
      <c r="B61" s="14" t="s">
        <v>145</v>
      </c>
      <c r="C61" s="14" t="s">
        <v>145</v>
      </c>
      <c r="D61" s="14" t="s">
        <v>145</v>
      </c>
      <c r="E61" s="14" t="s">
        <v>145</v>
      </c>
      <c r="F61" s="39" t="s">
        <v>145</v>
      </c>
      <c r="G61" s="14" t="s">
        <v>145</v>
      </c>
      <c r="H61" s="14" t="s">
        <v>145</v>
      </c>
      <c r="I61" s="14" t="s">
        <v>145</v>
      </c>
      <c r="J61" s="14" t="s">
        <v>145</v>
      </c>
      <c r="K61" s="14" t="s">
        <v>145</v>
      </c>
      <c r="L61" s="14" t="s">
        <v>145</v>
      </c>
      <c r="M61" s="14" t="s">
        <v>145</v>
      </c>
      <c r="N61" s="41" t="s">
        <v>145</v>
      </c>
    </row>
    <row r="62" spans="1:14" x14ac:dyDescent="0.3">
      <c r="A62" s="39" t="s">
        <v>145</v>
      </c>
      <c r="B62" s="14" t="s">
        <v>145</v>
      </c>
      <c r="C62" s="14" t="s">
        <v>145</v>
      </c>
      <c r="D62" s="14" t="s">
        <v>145</v>
      </c>
      <c r="E62" s="14" t="s">
        <v>145</v>
      </c>
      <c r="F62" s="39" t="s">
        <v>145</v>
      </c>
      <c r="G62" s="14" t="s">
        <v>145</v>
      </c>
      <c r="H62" s="14" t="s">
        <v>145</v>
      </c>
      <c r="I62" s="14" t="s">
        <v>145</v>
      </c>
      <c r="J62" s="14" t="s">
        <v>145</v>
      </c>
      <c r="K62" s="14" t="s">
        <v>145</v>
      </c>
      <c r="L62" s="14" t="s">
        <v>145</v>
      </c>
      <c r="M62" s="14" t="s">
        <v>145</v>
      </c>
      <c r="N62" s="41" t="s">
        <v>145</v>
      </c>
    </row>
    <row r="63" spans="1:14" x14ac:dyDescent="0.3">
      <c r="A63" s="39" t="s">
        <v>145</v>
      </c>
      <c r="B63" s="14" t="s">
        <v>145</v>
      </c>
      <c r="C63" s="14" t="s">
        <v>145</v>
      </c>
      <c r="D63" s="14" t="s">
        <v>145</v>
      </c>
      <c r="E63" s="14" t="s">
        <v>145</v>
      </c>
      <c r="F63" s="39" t="s">
        <v>145</v>
      </c>
      <c r="G63" s="14" t="s">
        <v>145</v>
      </c>
      <c r="H63" s="14" t="s">
        <v>145</v>
      </c>
      <c r="I63" s="14" t="s">
        <v>145</v>
      </c>
      <c r="J63" s="14" t="s">
        <v>145</v>
      </c>
      <c r="K63" s="14" t="s">
        <v>145</v>
      </c>
      <c r="L63" s="14" t="s">
        <v>145</v>
      </c>
      <c r="M63" s="14" t="s">
        <v>145</v>
      </c>
      <c r="N63" s="41" t="s">
        <v>145</v>
      </c>
    </row>
    <row r="64" spans="1:14" x14ac:dyDescent="0.3">
      <c r="A64" s="39" t="s">
        <v>145</v>
      </c>
      <c r="B64" s="14" t="s">
        <v>145</v>
      </c>
      <c r="C64" s="14" t="s">
        <v>145</v>
      </c>
      <c r="D64" s="14" t="s">
        <v>145</v>
      </c>
      <c r="E64" s="14" t="s">
        <v>145</v>
      </c>
      <c r="F64" s="39" t="s">
        <v>145</v>
      </c>
      <c r="G64" s="14" t="s">
        <v>145</v>
      </c>
      <c r="H64" s="14" t="s">
        <v>145</v>
      </c>
      <c r="I64" s="14" t="s">
        <v>145</v>
      </c>
      <c r="J64" s="14" t="s">
        <v>145</v>
      </c>
      <c r="K64" s="14" t="s">
        <v>145</v>
      </c>
      <c r="L64" s="14" t="s">
        <v>145</v>
      </c>
      <c r="M64" s="14" t="s">
        <v>145</v>
      </c>
      <c r="N64" s="41" t="s">
        <v>145</v>
      </c>
    </row>
    <row r="65" spans="1:14" x14ac:dyDescent="0.3">
      <c r="A65" s="39" t="s">
        <v>145</v>
      </c>
      <c r="B65" s="14" t="s">
        <v>145</v>
      </c>
      <c r="C65" s="14" t="s">
        <v>145</v>
      </c>
      <c r="D65" s="14" t="s">
        <v>145</v>
      </c>
      <c r="E65" s="14" t="s">
        <v>145</v>
      </c>
      <c r="F65" s="39" t="s">
        <v>145</v>
      </c>
      <c r="G65" s="14" t="s">
        <v>145</v>
      </c>
      <c r="H65" s="14" t="s">
        <v>145</v>
      </c>
      <c r="I65" s="14" t="s">
        <v>145</v>
      </c>
      <c r="J65" s="14" t="s">
        <v>145</v>
      </c>
      <c r="K65" s="14" t="s">
        <v>145</v>
      </c>
      <c r="L65" s="14" t="s">
        <v>145</v>
      </c>
      <c r="M65" s="14" t="s">
        <v>145</v>
      </c>
      <c r="N65" s="41" t="s">
        <v>145</v>
      </c>
    </row>
    <row r="66" spans="1:14" x14ac:dyDescent="0.3">
      <c r="A66" s="39" t="s">
        <v>145</v>
      </c>
      <c r="B66" s="14" t="s">
        <v>145</v>
      </c>
      <c r="C66" s="14" t="s">
        <v>145</v>
      </c>
      <c r="D66" s="14" t="s">
        <v>145</v>
      </c>
      <c r="E66" s="14" t="s">
        <v>145</v>
      </c>
      <c r="F66" s="39" t="s">
        <v>145</v>
      </c>
      <c r="G66" s="14" t="s">
        <v>145</v>
      </c>
      <c r="H66" s="14" t="s">
        <v>145</v>
      </c>
      <c r="I66" s="14" t="s">
        <v>145</v>
      </c>
      <c r="J66" s="14" t="s">
        <v>145</v>
      </c>
      <c r="K66" s="14" t="s">
        <v>145</v>
      </c>
      <c r="L66" s="14" t="s">
        <v>145</v>
      </c>
      <c r="M66" s="14" t="s">
        <v>145</v>
      </c>
      <c r="N66" s="41" t="s">
        <v>145</v>
      </c>
    </row>
    <row r="67" spans="1:14" x14ac:dyDescent="0.3">
      <c r="A67" s="39" t="s">
        <v>145</v>
      </c>
      <c r="B67" s="14" t="s">
        <v>145</v>
      </c>
      <c r="C67" s="14" t="s">
        <v>145</v>
      </c>
      <c r="D67" s="14" t="s">
        <v>145</v>
      </c>
      <c r="E67" s="14" t="s">
        <v>145</v>
      </c>
      <c r="F67" s="39" t="s">
        <v>145</v>
      </c>
      <c r="G67" s="14" t="s">
        <v>145</v>
      </c>
      <c r="H67" s="14" t="s">
        <v>145</v>
      </c>
      <c r="I67" s="14" t="s">
        <v>145</v>
      </c>
      <c r="J67" s="14" t="s">
        <v>145</v>
      </c>
      <c r="K67" s="14" t="s">
        <v>145</v>
      </c>
      <c r="L67" s="14" t="s">
        <v>145</v>
      </c>
      <c r="M67" s="14" t="s">
        <v>145</v>
      </c>
      <c r="N67" s="41" t="s">
        <v>145</v>
      </c>
    </row>
    <row r="68" spans="1:14" x14ac:dyDescent="0.3">
      <c r="A68" s="39" t="s">
        <v>145</v>
      </c>
      <c r="B68" s="14" t="s">
        <v>145</v>
      </c>
      <c r="C68" s="14" t="s">
        <v>145</v>
      </c>
      <c r="D68" s="14" t="s">
        <v>145</v>
      </c>
      <c r="E68" s="14" t="s">
        <v>145</v>
      </c>
      <c r="F68" s="39" t="s">
        <v>145</v>
      </c>
      <c r="G68" s="14" t="s">
        <v>145</v>
      </c>
      <c r="H68" s="14" t="s">
        <v>145</v>
      </c>
      <c r="I68" s="14" t="s">
        <v>145</v>
      </c>
      <c r="J68" s="14" t="s">
        <v>145</v>
      </c>
      <c r="K68" s="14" t="s">
        <v>145</v>
      </c>
      <c r="L68" s="14" t="s">
        <v>145</v>
      </c>
      <c r="M68" s="14" t="s">
        <v>145</v>
      </c>
      <c r="N68" s="41" t="s">
        <v>145</v>
      </c>
    </row>
    <row r="69" spans="1:14" x14ac:dyDescent="0.3">
      <c r="A69" s="39" t="s">
        <v>145</v>
      </c>
      <c r="B69" s="14" t="s">
        <v>145</v>
      </c>
      <c r="C69" s="14" t="s">
        <v>145</v>
      </c>
      <c r="D69" s="14" t="s">
        <v>145</v>
      </c>
      <c r="E69" s="14" t="s">
        <v>145</v>
      </c>
      <c r="F69" s="39" t="s">
        <v>145</v>
      </c>
      <c r="G69" s="14" t="s">
        <v>145</v>
      </c>
      <c r="H69" s="14" t="s">
        <v>145</v>
      </c>
      <c r="I69" s="14" t="s">
        <v>145</v>
      </c>
      <c r="J69" s="14" t="s">
        <v>145</v>
      </c>
      <c r="K69" s="14" t="s">
        <v>145</v>
      </c>
      <c r="L69" s="14" t="s">
        <v>145</v>
      </c>
      <c r="M69" s="14" t="s">
        <v>145</v>
      </c>
      <c r="N69" s="41" t="s">
        <v>145</v>
      </c>
    </row>
    <row r="70" spans="1:14" x14ac:dyDescent="0.3">
      <c r="A70" s="39" t="s">
        <v>145</v>
      </c>
      <c r="B70" s="14" t="s">
        <v>145</v>
      </c>
      <c r="C70" s="14" t="s">
        <v>145</v>
      </c>
      <c r="D70" s="14" t="s">
        <v>145</v>
      </c>
      <c r="E70" s="14" t="s">
        <v>145</v>
      </c>
      <c r="F70" s="39" t="s">
        <v>145</v>
      </c>
      <c r="G70" s="14" t="s">
        <v>145</v>
      </c>
      <c r="H70" s="14" t="s">
        <v>145</v>
      </c>
      <c r="I70" s="14" t="s">
        <v>145</v>
      </c>
      <c r="J70" s="14" t="s">
        <v>145</v>
      </c>
      <c r="K70" s="14" t="s">
        <v>145</v>
      </c>
      <c r="L70" s="14" t="s">
        <v>145</v>
      </c>
      <c r="M70" s="14" t="s">
        <v>145</v>
      </c>
      <c r="N70" s="41" t="s">
        <v>145</v>
      </c>
    </row>
    <row r="71" spans="1:14" x14ac:dyDescent="0.3">
      <c r="A71" s="39" t="s">
        <v>145</v>
      </c>
      <c r="B71" s="14" t="s">
        <v>145</v>
      </c>
      <c r="C71" s="14" t="s">
        <v>145</v>
      </c>
      <c r="D71" s="14" t="s">
        <v>145</v>
      </c>
      <c r="E71" s="14" t="s">
        <v>145</v>
      </c>
      <c r="F71" s="39" t="s">
        <v>145</v>
      </c>
      <c r="G71" s="14" t="s">
        <v>145</v>
      </c>
      <c r="H71" s="14" t="s">
        <v>145</v>
      </c>
      <c r="I71" s="14" t="s">
        <v>145</v>
      </c>
      <c r="J71" s="14" t="s">
        <v>145</v>
      </c>
      <c r="K71" s="14" t="s">
        <v>145</v>
      </c>
      <c r="L71" s="14" t="s">
        <v>145</v>
      </c>
      <c r="M71" s="14" t="s">
        <v>145</v>
      </c>
      <c r="N71" s="41" t="s">
        <v>145</v>
      </c>
    </row>
    <row r="72" spans="1:14" x14ac:dyDescent="0.3">
      <c r="A72" s="39" t="s">
        <v>145</v>
      </c>
      <c r="B72" s="14" t="s">
        <v>145</v>
      </c>
      <c r="C72" s="14" t="s">
        <v>145</v>
      </c>
      <c r="D72" s="14" t="s">
        <v>145</v>
      </c>
      <c r="E72" s="14" t="s">
        <v>145</v>
      </c>
      <c r="F72" s="39" t="s">
        <v>145</v>
      </c>
      <c r="G72" s="14" t="s">
        <v>145</v>
      </c>
      <c r="H72" s="14" t="s">
        <v>145</v>
      </c>
      <c r="I72" s="14" t="s">
        <v>145</v>
      </c>
      <c r="J72" s="14" t="s">
        <v>145</v>
      </c>
      <c r="K72" s="14" t="s">
        <v>145</v>
      </c>
      <c r="L72" s="14" t="s">
        <v>145</v>
      </c>
      <c r="M72" s="14" t="s">
        <v>145</v>
      </c>
      <c r="N72" s="41" t="s">
        <v>145</v>
      </c>
    </row>
    <row r="73" spans="1:14" x14ac:dyDescent="0.3">
      <c r="A73" s="39" t="s">
        <v>145</v>
      </c>
      <c r="B73" s="14" t="s">
        <v>145</v>
      </c>
      <c r="C73" s="14" t="s">
        <v>145</v>
      </c>
      <c r="D73" s="14" t="s">
        <v>145</v>
      </c>
      <c r="E73" s="14" t="s">
        <v>145</v>
      </c>
      <c r="F73" s="39" t="s">
        <v>145</v>
      </c>
      <c r="G73" s="14" t="s">
        <v>145</v>
      </c>
      <c r="H73" s="14" t="s">
        <v>145</v>
      </c>
      <c r="I73" s="14" t="s">
        <v>145</v>
      </c>
      <c r="J73" s="14" t="s">
        <v>145</v>
      </c>
      <c r="K73" s="14" t="s">
        <v>145</v>
      </c>
      <c r="L73" s="14" t="s">
        <v>145</v>
      </c>
      <c r="M73" s="14" t="s">
        <v>145</v>
      </c>
      <c r="N73" s="41" t="s">
        <v>145</v>
      </c>
    </row>
    <row r="74" spans="1:14" x14ac:dyDescent="0.3">
      <c r="A74" s="39" t="s">
        <v>145</v>
      </c>
      <c r="B74" s="14" t="s">
        <v>145</v>
      </c>
      <c r="C74" s="14" t="s">
        <v>145</v>
      </c>
      <c r="D74" s="14" t="s">
        <v>145</v>
      </c>
      <c r="E74" s="14" t="s">
        <v>145</v>
      </c>
      <c r="F74" s="39" t="s">
        <v>145</v>
      </c>
      <c r="G74" s="14" t="s">
        <v>145</v>
      </c>
      <c r="H74" s="14" t="s">
        <v>145</v>
      </c>
      <c r="I74" s="14" t="s">
        <v>145</v>
      </c>
      <c r="J74" s="14" t="s">
        <v>145</v>
      </c>
      <c r="K74" s="14" t="s">
        <v>145</v>
      </c>
      <c r="L74" s="14" t="s">
        <v>145</v>
      </c>
      <c r="M74" s="14" t="s">
        <v>145</v>
      </c>
      <c r="N74" s="41" t="s">
        <v>145</v>
      </c>
    </row>
    <row r="75" spans="1:14" x14ac:dyDescent="0.3">
      <c r="A75" s="39" t="s">
        <v>145</v>
      </c>
      <c r="B75" s="14" t="s">
        <v>145</v>
      </c>
      <c r="C75" s="14" t="s">
        <v>145</v>
      </c>
      <c r="D75" s="14" t="s">
        <v>145</v>
      </c>
      <c r="E75" s="14" t="s">
        <v>145</v>
      </c>
      <c r="F75" s="39" t="s">
        <v>145</v>
      </c>
      <c r="G75" s="14" t="s">
        <v>145</v>
      </c>
      <c r="H75" s="14" t="s">
        <v>145</v>
      </c>
      <c r="I75" s="14" t="s">
        <v>145</v>
      </c>
      <c r="J75" s="14" t="s">
        <v>145</v>
      </c>
      <c r="K75" s="14" t="s">
        <v>145</v>
      </c>
      <c r="L75" s="14" t="s">
        <v>145</v>
      </c>
      <c r="M75" s="14" t="s">
        <v>145</v>
      </c>
      <c r="N75" s="41" t="s">
        <v>145</v>
      </c>
    </row>
    <row r="76" spans="1:14" x14ac:dyDescent="0.3">
      <c r="A76" s="39" t="s">
        <v>145</v>
      </c>
      <c r="B76" s="14" t="s">
        <v>145</v>
      </c>
      <c r="C76" s="14" t="s">
        <v>145</v>
      </c>
      <c r="D76" s="14" t="s">
        <v>145</v>
      </c>
      <c r="E76" s="14" t="s">
        <v>145</v>
      </c>
      <c r="F76" s="39" t="s">
        <v>145</v>
      </c>
      <c r="G76" s="14" t="s">
        <v>145</v>
      </c>
      <c r="H76" s="14" t="s">
        <v>145</v>
      </c>
      <c r="I76" s="14" t="s">
        <v>145</v>
      </c>
      <c r="J76" s="14" t="s">
        <v>145</v>
      </c>
      <c r="K76" s="14" t="s">
        <v>145</v>
      </c>
      <c r="L76" s="14" t="s">
        <v>145</v>
      </c>
      <c r="M76" s="14" t="s">
        <v>145</v>
      </c>
      <c r="N76" s="41" t="s">
        <v>145</v>
      </c>
    </row>
    <row r="77" spans="1:14" x14ac:dyDescent="0.3">
      <c r="A77" s="39" t="s">
        <v>145</v>
      </c>
      <c r="B77" s="14" t="s">
        <v>145</v>
      </c>
      <c r="C77" s="14" t="s">
        <v>145</v>
      </c>
      <c r="D77" s="14" t="s">
        <v>145</v>
      </c>
      <c r="E77" s="14" t="s">
        <v>145</v>
      </c>
      <c r="F77" s="39" t="s">
        <v>145</v>
      </c>
      <c r="G77" s="14" t="s">
        <v>145</v>
      </c>
      <c r="H77" s="14" t="s">
        <v>145</v>
      </c>
      <c r="I77" s="14" t="s">
        <v>145</v>
      </c>
      <c r="J77" s="14" t="s">
        <v>145</v>
      </c>
      <c r="K77" s="14" t="s">
        <v>145</v>
      </c>
      <c r="L77" s="14" t="s">
        <v>145</v>
      </c>
      <c r="M77" s="14" t="s">
        <v>145</v>
      </c>
      <c r="N77" s="41" t="s">
        <v>145</v>
      </c>
    </row>
    <row r="78" spans="1:14" x14ac:dyDescent="0.3">
      <c r="A78" s="39" t="s">
        <v>145</v>
      </c>
      <c r="B78" s="14" t="s">
        <v>145</v>
      </c>
      <c r="C78" s="14" t="s">
        <v>145</v>
      </c>
      <c r="D78" s="14" t="s">
        <v>145</v>
      </c>
      <c r="E78" s="14" t="s">
        <v>145</v>
      </c>
      <c r="F78" s="39" t="s">
        <v>145</v>
      </c>
      <c r="G78" s="14" t="s">
        <v>145</v>
      </c>
      <c r="H78" s="14" t="s">
        <v>145</v>
      </c>
      <c r="I78" s="14" t="s">
        <v>145</v>
      </c>
      <c r="J78" s="14" t="s">
        <v>145</v>
      </c>
      <c r="K78" s="14" t="s">
        <v>145</v>
      </c>
      <c r="L78" s="14" t="s">
        <v>145</v>
      </c>
      <c r="M78" s="14" t="s">
        <v>145</v>
      </c>
      <c r="N78" s="41" t="s">
        <v>145</v>
      </c>
    </row>
    <row r="79" spans="1:14" x14ac:dyDescent="0.3">
      <c r="A79" s="39" t="s">
        <v>145</v>
      </c>
      <c r="B79" s="14" t="s">
        <v>145</v>
      </c>
      <c r="C79" s="14" t="s">
        <v>145</v>
      </c>
      <c r="D79" s="14" t="s">
        <v>145</v>
      </c>
      <c r="E79" s="14" t="s">
        <v>145</v>
      </c>
      <c r="F79" s="39" t="s">
        <v>145</v>
      </c>
      <c r="G79" s="14" t="s">
        <v>145</v>
      </c>
      <c r="H79" s="14" t="s">
        <v>145</v>
      </c>
      <c r="I79" s="14" t="s">
        <v>145</v>
      </c>
      <c r="J79" s="14" t="s">
        <v>145</v>
      </c>
      <c r="K79" s="14" t="s">
        <v>145</v>
      </c>
      <c r="L79" s="14" t="s">
        <v>145</v>
      </c>
      <c r="M79" s="14" t="s">
        <v>145</v>
      </c>
      <c r="N79" s="41" t="s">
        <v>145</v>
      </c>
    </row>
    <row r="80" spans="1:14" x14ac:dyDescent="0.3">
      <c r="A80" s="39" t="s">
        <v>145</v>
      </c>
      <c r="B80" s="14" t="s">
        <v>145</v>
      </c>
      <c r="C80" s="14" t="s">
        <v>145</v>
      </c>
      <c r="D80" s="14" t="s">
        <v>145</v>
      </c>
      <c r="E80" s="14" t="s">
        <v>145</v>
      </c>
      <c r="F80" s="39" t="s">
        <v>145</v>
      </c>
      <c r="G80" s="14" t="s">
        <v>145</v>
      </c>
      <c r="H80" s="14" t="s">
        <v>145</v>
      </c>
      <c r="I80" s="14" t="s">
        <v>145</v>
      </c>
      <c r="J80" s="14" t="s">
        <v>145</v>
      </c>
      <c r="K80" s="14" t="s">
        <v>145</v>
      </c>
      <c r="L80" s="14" t="s">
        <v>145</v>
      </c>
      <c r="M80" s="14" t="s">
        <v>145</v>
      </c>
      <c r="N80" s="41" t="s">
        <v>145</v>
      </c>
    </row>
    <row r="81" spans="1:14" x14ac:dyDescent="0.3">
      <c r="A81" s="39" t="s">
        <v>145</v>
      </c>
      <c r="B81" s="14" t="s">
        <v>145</v>
      </c>
      <c r="C81" s="14" t="s">
        <v>145</v>
      </c>
      <c r="D81" s="14" t="s">
        <v>145</v>
      </c>
      <c r="E81" s="14" t="s">
        <v>145</v>
      </c>
      <c r="F81" s="39" t="s">
        <v>145</v>
      </c>
      <c r="G81" s="14" t="s">
        <v>145</v>
      </c>
      <c r="H81" s="14" t="s">
        <v>145</v>
      </c>
      <c r="I81" s="14" t="s">
        <v>145</v>
      </c>
      <c r="J81" s="14" t="s">
        <v>145</v>
      </c>
      <c r="K81" s="14" t="s">
        <v>145</v>
      </c>
      <c r="L81" s="14" t="s">
        <v>145</v>
      </c>
      <c r="M81" s="14" t="s">
        <v>145</v>
      </c>
      <c r="N81" s="41" t="s">
        <v>145</v>
      </c>
    </row>
    <row r="82" spans="1:14" x14ac:dyDescent="0.3">
      <c r="A82" s="39" t="s">
        <v>145</v>
      </c>
      <c r="B82" s="14" t="s">
        <v>145</v>
      </c>
      <c r="C82" s="14" t="s">
        <v>145</v>
      </c>
      <c r="D82" s="14" t="s">
        <v>145</v>
      </c>
      <c r="E82" s="14" t="s">
        <v>145</v>
      </c>
      <c r="F82" s="39" t="s">
        <v>145</v>
      </c>
      <c r="G82" s="14" t="s">
        <v>145</v>
      </c>
      <c r="H82" s="14" t="s">
        <v>145</v>
      </c>
      <c r="I82" s="14" t="s">
        <v>145</v>
      </c>
      <c r="J82" s="14" t="s">
        <v>145</v>
      </c>
      <c r="K82" s="14" t="s">
        <v>145</v>
      </c>
      <c r="L82" s="14" t="s">
        <v>145</v>
      </c>
      <c r="M82" s="14" t="s">
        <v>145</v>
      </c>
      <c r="N82" s="41" t="s">
        <v>145</v>
      </c>
    </row>
    <row r="83" spans="1:14" x14ac:dyDescent="0.3">
      <c r="A83" s="39" t="s">
        <v>145</v>
      </c>
      <c r="B83" s="14" t="s">
        <v>145</v>
      </c>
      <c r="C83" s="14" t="s">
        <v>145</v>
      </c>
      <c r="D83" s="14" t="s">
        <v>145</v>
      </c>
      <c r="E83" s="14" t="s">
        <v>145</v>
      </c>
      <c r="F83" s="39" t="s">
        <v>145</v>
      </c>
      <c r="G83" s="14" t="s">
        <v>145</v>
      </c>
      <c r="H83" s="14" t="s">
        <v>145</v>
      </c>
      <c r="I83" s="14" t="s">
        <v>145</v>
      </c>
      <c r="J83" s="14" t="s">
        <v>145</v>
      </c>
      <c r="K83" s="14" t="s">
        <v>145</v>
      </c>
      <c r="L83" s="14" t="s">
        <v>145</v>
      </c>
      <c r="M83" s="14" t="s">
        <v>145</v>
      </c>
      <c r="N83" s="41" t="s">
        <v>145</v>
      </c>
    </row>
    <row r="84" spans="1:14" x14ac:dyDescent="0.3">
      <c r="A84" s="39" t="s">
        <v>145</v>
      </c>
      <c r="B84" s="14" t="s">
        <v>145</v>
      </c>
      <c r="C84" s="14" t="s">
        <v>145</v>
      </c>
      <c r="D84" s="14" t="s">
        <v>145</v>
      </c>
      <c r="E84" s="14" t="s">
        <v>145</v>
      </c>
      <c r="F84" s="39" t="s">
        <v>145</v>
      </c>
      <c r="G84" s="14" t="s">
        <v>145</v>
      </c>
      <c r="H84" s="14" t="s">
        <v>145</v>
      </c>
      <c r="I84" s="14" t="s">
        <v>145</v>
      </c>
      <c r="J84" s="14" t="s">
        <v>145</v>
      </c>
      <c r="K84" s="14" t="s">
        <v>145</v>
      </c>
      <c r="L84" s="14" t="s">
        <v>145</v>
      </c>
      <c r="M84" s="14" t="s">
        <v>145</v>
      </c>
      <c r="N84" s="41" t="s">
        <v>145</v>
      </c>
    </row>
    <row r="85" spans="1:14" x14ac:dyDescent="0.3">
      <c r="A85" s="39" t="s">
        <v>145</v>
      </c>
      <c r="B85" s="14" t="s">
        <v>145</v>
      </c>
      <c r="C85" s="14" t="s">
        <v>145</v>
      </c>
      <c r="D85" s="14" t="s">
        <v>145</v>
      </c>
      <c r="E85" s="14" t="s">
        <v>145</v>
      </c>
      <c r="F85" s="39" t="s">
        <v>145</v>
      </c>
      <c r="G85" s="14" t="s">
        <v>145</v>
      </c>
      <c r="H85" s="14" t="s">
        <v>145</v>
      </c>
      <c r="I85" s="14" t="s">
        <v>145</v>
      </c>
      <c r="J85" s="14" t="s">
        <v>145</v>
      </c>
      <c r="K85" s="14" t="s">
        <v>145</v>
      </c>
      <c r="L85" s="14" t="s">
        <v>145</v>
      </c>
      <c r="M85" s="14" t="s">
        <v>145</v>
      </c>
      <c r="N85" s="41" t="s">
        <v>145</v>
      </c>
    </row>
    <row r="86" spans="1:14" x14ac:dyDescent="0.3">
      <c r="A86" s="39" t="s">
        <v>145</v>
      </c>
      <c r="B86" s="14" t="s">
        <v>145</v>
      </c>
      <c r="C86" s="14" t="s">
        <v>145</v>
      </c>
      <c r="D86" s="14" t="s">
        <v>145</v>
      </c>
      <c r="E86" s="14" t="s">
        <v>145</v>
      </c>
      <c r="F86" s="39" t="s">
        <v>145</v>
      </c>
      <c r="G86" s="14" t="s">
        <v>145</v>
      </c>
      <c r="H86" s="14" t="s">
        <v>145</v>
      </c>
      <c r="I86" s="14" t="s">
        <v>145</v>
      </c>
      <c r="J86" s="14" t="s">
        <v>145</v>
      </c>
      <c r="K86" s="14" t="s">
        <v>145</v>
      </c>
      <c r="L86" s="14" t="s">
        <v>145</v>
      </c>
      <c r="M86" s="14" t="s">
        <v>145</v>
      </c>
      <c r="N86" s="41" t="s">
        <v>145</v>
      </c>
    </row>
    <row r="87" spans="1:14" x14ac:dyDescent="0.3">
      <c r="A87" s="39" t="s">
        <v>145</v>
      </c>
      <c r="B87" s="14" t="s">
        <v>145</v>
      </c>
      <c r="C87" s="14" t="s">
        <v>145</v>
      </c>
      <c r="D87" s="14" t="s">
        <v>145</v>
      </c>
      <c r="E87" s="14" t="s">
        <v>145</v>
      </c>
      <c r="F87" s="39" t="s">
        <v>145</v>
      </c>
      <c r="G87" s="14" t="s">
        <v>145</v>
      </c>
      <c r="H87" s="14" t="s">
        <v>145</v>
      </c>
      <c r="I87" s="14" t="s">
        <v>145</v>
      </c>
      <c r="J87" s="14" t="s">
        <v>145</v>
      </c>
      <c r="K87" s="14" t="s">
        <v>145</v>
      </c>
      <c r="L87" s="14" t="s">
        <v>145</v>
      </c>
      <c r="M87" s="14" t="s">
        <v>145</v>
      </c>
      <c r="N87" s="41" t="s">
        <v>145</v>
      </c>
    </row>
    <row r="88" spans="1:14" x14ac:dyDescent="0.3">
      <c r="A88" s="39" t="s">
        <v>145</v>
      </c>
      <c r="B88" s="14" t="s">
        <v>145</v>
      </c>
      <c r="C88" s="14" t="s">
        <v>145</v>
      </c>
      <c r="D88" s="14" t="s">
        <v>145</v>
      </c>
      <c r="E88" s="14" t="s">
        <v>145</v>
      </c>
      <c r="F88" s="39" t="s">
        <v>145</v>
      </c>
      <c r="G88" s="14" t="s">
        <v>145</v>
      </c>
      <c r="H88" s="14" t="s">
        <v>145</v>
      </c>
      <c r="I88" s="14" t="s">
        <v>145</v>
      </c>
      <c r="J88" s="14" t="s">
        <v>145</v>
      </c>
      <c r="K88" s="14" t="s">
        <v>145</v>
      </c>
      <c r="L88" s="14" t="s">
        <v>145</v>
      </c>
      <c r="M88" s="14" t="s">
        <v>145</v>
      </c>
      <c r="N88" s="41" t="s">
        <v>145</v>
      </c>
    </row>
    <row r="89" spans="1:14" x14ac:dyDescent="0.3">
      <c r="A89" s="39" t="s">
        <v>145</v>
      </c>
      <c r="B89" s="14" t="s">
        <v>145</v>
      </c>
      <c r="C89" s="14" t="s">
        <v>145</v>
      </c>
      <c r="D89" s="14" t="s">
        <v>145</v>
      </c>
      <c r="E89" s="14" t="s">
        <v>145</v>
      </c>
      <c r="F89" s="39" t="s">
        <v>145</v>
      </c>
      <c r="G89" s="14" t="s">
        <v>145</v>
      </c>
      <c r="H89" s="14" t="s">
        <v>145</v>
      </c>
      <c r="I89" s="14" t="s">
        <v>145</v>
      </c>
      <c r="J89" s="14" t="s">
        <v>145</v>
      </c>
      <c r="K89" s="14" t="s">
        <v>145</v>
      </c>
      <c r="L89" s="14" t="s">
        <v>145</v>
      </c>
      <c r="M89" s="14" t="s">
        <v>145</v>
      </c>
      <c r="N89" s="41" t="s">
        <v>145</v>
      </c>
    </row>
    <row r="90" spans="1:14" x14ac:dyDescent="0.3">
      <c r="A90" s="39" t="s">
        <v>145</v>
      </c>
      <c r="B90" s="14" t="s">
        <v>145</v>
      </c>
      <c r="C90" s="14" t="s">
        <v>145</v>
      </c>
      <c r="D90" s="14" t="s">
        <v>145</v>
      </c>
      <c r="E90" s="14" t="s">
        <v>145</v>
      </c>
      <c r="F90" s="39" t="s">
        <v>145</v>
      </c>
      <c r="G90" s="14" t="s">
        <v>145</v>
      </c>
      <c r="H90" s="14" t="s">
        <v>145</v>
      </c>
      <c r="I90" s="14" t="s">
        <v>145</v>
      </c>
      <c r="J90" s="14" t="s">
        <v>145</v>
      </c>
      <c r="K90" s="14" t="s">
        <v>145</v>
      </c>
      <c r="L90" s="14" t="s">
        <v>145</v>
      </c>
      <c r="M90" s="14" t="s">
        <v>145</v>
      </c>
      <c r="N90" s="41" t="s">
        <v>145</v>
      </c>
    </row>
    <row r="91" spans="1:14" x14ac:dyDescent="0.3">
      <c r="A91" s="39" t="s">
        <v>145</v>
      </c>
      <c r="B91" s="14" t="s">
        <v>145</v>
      </c>
      <c r="C91" s="14" t="s">
        <v>145</v>
      </c>
      <c r="D91" s="14" t="s">
        <v>145</v>
      </c>
      <c r="E91" s="14" t="s">
        <v>145</v>
      </c>
      <c r="F91" s="39" t="s">
        <v>145</v>
      </c>
      <c r="G91" s="14" t="s">
        <v>145</v>
      </c>
      <c r="H91" s="14" t="s">
        <v>145</v>
      </c>
      <c r="I91" s="14" t="s">
        <v>145</v>
      </c>
      <c r="J91" s="14" t="s">
        <v>145</v>
      </c>
      <c r="K91" s="14" t="s">
        <v>145</v>
      </c>
      <c r="L91" s="14" t="s">
        <v>145</v>
      </c>
      <c r="M91" s="14" t="s">
        <v>145</v>
      </c>
      <c r="N91" s="41" t="s">
        <v>145</v>
      </c>
    </row>
    <row r="92" spans="1:14" x14ac:dyDescent="0.3">
      <c r="A92" s="39" t="s">
        <v>145</v>
      </c>
      <c r="B92" s="14" t="s">
        <v>145</v>
      </c>
      <c r="C92" s="14" t="s">
        <v>145</v>
      </c>
      <c r="D92" s="14" t="s">
        <v>145</v>
      </c>
      <c r="E92" s="14" t="s">
        <v>145</v>
      </c>
      <c r="F92" s="39" t="s">
        <v>145</v>
      </c>
      <c r="G92" s="14" t="s">
        <v>145</v>
      </c>
      <c r="H92" s="14" t="s">
        <v>145</v>
      </c>
      <c r="I92" s="14" t="s">
        <v>145</v>
      </c>
      <c r="J92" s="14" t="s">
        <v>145</v>
      </c>
      <c r="K92" s="14" t="s">
        <v>145</v>
      </c>
      <c r="L92" s="14" t="s">
        <v>145</v>
      </c>
      <c r="M92" s="14" t="s">
        <v>145</v>
      </c>
      <c r="N92" s="41" t="s">
        <v>145</v>
      </c>
    </row>
    <row r="93" spans="1:14" x14ac:dyDescent="0.3">
      <c r="A93" s="39" t="s">
        <v>145</v>
      </c>
      <c r="B93" s="14" t="s">
        <v>145</v>
      </c>
      <c r="C93" s="14" t="s">
        <v>145</v>
      </c>
      <c r="D93" s="14" t="s">
        <v>145</v>
      </c>
      <c r="E93" s="14" t="s">
        <v>145</v>
      </c>
      <c r="F93" s="39" t="s">
        <v>145</v>
      </c>
      <c r="G93" s="14" t="s">
        <v>145</v>
      </c>
      <c r="H93" s="14" t="s">
        <v>145</v>
      </c>
      <c r="I93" s="14" t="s">
        <v>145</v>
      </c>
      <c r="J93" s="14" t="s">
        <v>145</v>
      </c>
      <c r="K93" s="14" t="s">
        <v>145</v>
      </c>
      <c r="L93" s="14" t="s">
        <v>145</v>
      </c>
      <c r="M93" s="14" t="s">
        <v>145</v>
      </c>
      <c r="N93" s="41" t="s">
        <v>145</v>
      </c>
    </row>
    <row r="94" spans="1:14" x14ac:dyDescent="0.3">
      <c r="A94" s="39" t="s">
        <v>145</v>
      </c>
      <c r="B94" s="14" t="s">
        <v>145</v>
      </c>
      <c r="C94" s="14" t="s">
        <v>145</v>
      </c>
      <c r="D94" s="14" t="s">
        <v>145</v>
      </c>
      <c r="E94" s="14" t="s">
        <v>145</v>
      </c>
      <c r="F94" s="39" t="s">
        <v>145</v>
      </c>
      <c r="G94" s="14" t="s">
        <v>145</v>
      </c>
      <c r="H94" s="14" t="s">
        <v>145</v>
      </c>
      <c r="I94" s="14" t="s">
        <v>145</v>
      </c>
      <c r="J94" s="14" t="s">
        <v>145</v>
      </c>
      <c r="K94" s="14" t="s">
        <v>145</v>
      </c>
      <c r="L94" s="14" t="s">
        <v>145</v>
      </c>
      <c r="M94" s="14" t="s">
        <v>145</v>
      </c>
      <c r="N94" s="41" t="s">
        <v>145</v>
      </c>
    </row>
    <row r="95" spans="1:14" x14ac:dyDescent="0.3">
      <c r="A95" s="39" t="s">
        <v>145</v>
      </c>
      <c r="B95" s="14" t="s">
        <v>145</v>
      </c>
      <c r="C95" s="14" t="s">
        <v>145</v>
      </c>
      <c r="D95" s="14" t="s">
        <v>145</v>
      </c>
      <c r="E95" s="14" t="s">
        <v>145</v>
      </c>
      <c r="F95" s="39" t="s">
        <v>145</v>
      </c>
      <c r="G95" s="14" t="s">
        <v>145</v>
      </c>
      <c r="H95" s="14" t="s">
        <v>145</v>
      </c>
      <c r="I95" s="14" t="s">
        <v>145</v>
      </c>
      <c r="J95" s="14" t="s">
        <v>145</v>
      </c>
      <c r="K95" s="14" t="s">
        <v>145</v>
      </c>
      <c r="L95" s="14" t="s">
        <v>145</v>
      </c>
      <c r="M95" s="14" t="s">
        <v>145</v>
      </c>
      <c r="N95" s="41" t="s">
        <v>145</v>
      </c>
    </row>
    <row r="96" spans="1:14" x14ac:dyDescent="0.3">
      <c r="A96" s="39" t="s">
        <v>145</v>
      </c>
      <c r="B96" s="14" t="s">
        <v>145</v>
      </c>
      <c r="C96" s="14" t="s">
        <v>145</v>
      </c>
      <c r="D96" s="14" t="s">
        <v>145</v>
      </c>
      <c r="E96" s="14" t="s">
        <v>145</v>
      </c>
      <c r="F96" s="39" t="s">
        <v>145</v>
      </c>
      <c r="G96" s="14" t="s">
        <v>145</v>
      </c>
      <c r="H96" s="14" t="s">
        <v>145</v>
      </c>
      <c r="I96" s="14" t="s">
        <v>145</v>
      </c>
      <c r="J96" s="14" t="s">
        <v>145</v>
      </c>
      <c r="K96" s="14" t="s">
        <v>145</v>
      </c>
      <c r="L96" s="14" t="s">
        <v>145</v>
      </c>
      <c r="M96" s="14" t="s">
        <v>145</v>
      </c>
      <c r="N96" s="41" t="s">
        <v>145</v>
      </c>
    </row>
    <row r="97" spans="1:14" x14ac:dyDescent="0.3">
      <c r="A97" s="39" t="s">
        <v>145</v>
      </c>
      <c r="B97" s="14" t="s">
        <v>145</v>
      </c>
      <c r="C97" s="14" t="s">
        <v>145</v>
      </c>
      <c r="D97" s="14" t="s">
        <v>145</v>
      </c>
      <c r="E97" s="14" t="s">
        <v>145</v>
      </c>
      <c r="F97" s="39" t="s">
        <v>145</v>
      </c>
      <c r="G97" s="14" t="s">
        <v>145</v>
      </c>
      <c r="H97" s="14" t="s">
        <v>145</v>
      </c>
      <c r="I97" s="14" t="s">
        <v>145</v>
      </c>
      <c r="J97" s="14" t="s">
        <v>145</v>
      </c>
      <c r="K97" s="14" t="s">
        <v>145</v>
      </c>
      <c r="L97" s="14" t="s">
        <v>145</v>
      </c>
      <c r="M97" s="14" t="s">
        <v>145</v>
      </c>
      <c r="N97" s="41" t="s">
        <v>145</v>
      </c>
    </row>
    <row r="98" spans="1:14" x14ac:dyDescent="0.3">
      <c r="A98" s="39" t="s">
        <v>145</v>
      </c>
      <c r="B98" s="14" t="s">
        <v>145</v>
      </c>
      <c r="C98" s="14" t="s">
        <v>145</v>
      </c>
      <c r="D98" s="14" t="s">
        <v>145</v>
      </c>
      <c r="E98" s="14" t="s">
        <v>145</v>
      </c>
      <c r="F98" s="39" t="s">
        <v>145</v>
      </c>
      <c r="G98" s="14" t="s">
        <v>145</v>
      </c>
      <c r="H98" s="14" t="s">
        <v>145</v>
      </c>
      <c r="I98" s="14" t="s">
        <v>145</v>
      </c>
      <c r="J98" s="14" t="s">
        <v>145</v>
      </c>
      <c r="K98" s="14" t="s">
        <v>145</v>
      </c>
      <c r="L98" s="14" t="s">
        <v>145</v>
      </c>
      <c r="M98" s="14" t="s">
        <v>145</v>
      </c>
      <c r="N98" s="41" t="s">
        <v>145</v>
      </c>
    </row>
    <row r="99" spans="1:14" x14ac:dyDescent="0.3">
      <c r="A99" s="39" t="s">
        <v>145</v>
      </c>
      <c r="B99" s="14" t="s">
        <v>145</v>
      </c>
      <c r="C99" s="14" t="s">
        <v>145</v>
      </c>
      <c r="D99" s="14" t="s">
        <v>145</v>
      </c>
      <c r="E99" s="14" t="s">
        <v>145</v>
      </c>
      <c r="F99" s="39" t="s">
        <v>145</v>
      </c>
      <c r="G99" s="14" t="s">
        <v>145</v>
      </c>
      <c r="H99" s="14" t="s">
        <v>145</v>
      </c>
      <c r="I99" s="14" t="s">
        <v>145</v>
      </c>
      <c r="J99" s="14" t="s">
        <v>145</v>
      </c>
      <c r="K99" s="14" t="s">
        <v>145</v>
      </c>
      <c r="L99" s="14" t="s">
        <v>145</v>
      </c>
      <c r="M99" s="14" t="s">
        <v>145</v>
      </c>
      <c r="N99" s="41" t="s">
        <v>145</v>
      </c>
    </row>
    <row r="100" spans="1:14" x14ac:dyDescent="0.3">
      <c r="A100" s="39" t="s">
        <v>145</v>
      </c>
      <c r="B100" s="14" t="s">
        <v>145</v>
      </c>
      <c r="C100" s="14" t="s">
        <v>145</v>
      </c>
      <c r="D100" s="14" t="s">
        <v>145</v>
      </c>
      <c r="E100" s="14" t="s">
        <v>145</v>
      </c>
      <c r="F100" s="39" t="s">
        <v>145</v>
      </c>
      <c r="G100" s="14" t="s">
        <v>145</v>
      </c>
      <c r="H100" s="14" t="s">
        <v>145</v>
      </c>
      <c r="I100" s="14" t="s">
        <v>145</v>
      </c>
      <c r="J100" s="14" t="s">
        <v>145</v>
      </c>
      <c r="K100" s="14" t="s">
        <v>145</v>
      </c>
      <c r="L100" s="14" t="s">
        <v>145</v>
      </c>
      <c r="M100" s="14" t="s">
        <v>145</v>
      </c>
      <c r="N100" s="41" t="s">
        <v>145</v>
      </c>
    </row>
    <row r="101" spans="1:14" x14ac:dyDescent="0.3">
      <c r="A101" s="39" t="s">
        <v>145</v>
      </c>
      <c r="B101" s="14" t="s">
        <v>145</v>
      </c>
      <c r="C101" s="14" t="s">
        <v>145</v>
      </c>
      <c r="D101" s="14" t="s">
        <v>145</v>
      </c>
      <c r="E101" s="14" t="s">
        <v>145</v>
      </c>
      <c r="F101" s="39" t="s">
        <v>145</v>
      </c>
      <c r="G101" s="14" t="s">
        <v>145</v>
      </c>
      <c r="H101" s="14" t="s">
        <v>145</v>
      </c>
      <c r="I101" s="14" t="s">
        <v>145</v>
      </c>
      <c r="J101" s="14" t="s">
        <v>145</v>
      </c>
      <c r="K101" s="14" t="s">
        <v>145</v>
      </c>
      <c r="L101" s="14" t="s">
        <v>145</v>
      </c>
      <c r="M101" s="14" t="s">
        <v>145</v>
      </c>
      <c r="N101" s="41" t="s">
        <v>145</v>
      </c>
    </row>
    <row r="102" spans="1:14" x14ac:dyDescent="0.3">
      <c r="A102" s="39" t="s">
        <v>145</v>
      </c>
      <c r="B102" s="14" t="s">
        <v>145</v>
      </c>
      <c r="C102" s="14" t="s">
        <v>145</v>
      </c>
      <c r="D102" s="14" t="s">
        <v>145</v>
      </c>
      <c r="E102" s="14" t="s">
        <v>145</v>
      </c>
      <c r="F102" s="39" t="s">
        <v>145</v>
      </c>
      <c r="G102" s="14" t="s">
        <v>145</v>
      </c>
      <c r="H102" s="14" t="s">
        <v>145</v>
      </c>
      <c r="I102" s="14" t="s">
        <v>145</v>
      </c>
      <c r="J102" s="14" t="s">
        <v>145</v>
      </c>
      <c r="K102" s="14" t="s">
        <v>145</v>
      </c>
      <c r="L102" s="14" t="s">
        <v>145</v>
      </c>
      <c r="M102" s="14" t="s">
        <v>145</v>
      </c>
      <c r="N102" s="41" t="s">
        <v>145</v>
      </c>
    </row>
    <row r="103" spans="1:14" x14ac:dyDescent="0.3">
      <c r="A103" s="39" t="s">
        <v>145</v>
      </c>
      <c r="B103" s="14" t="s">
        <v>145</v>
      </c>
      <c r="C103" s="14" t="s">
        <v>145</v>
      </c>
      <c r="D103" s="14" t="s">
        <v>145</v>
      </c>
      <c r="E103" s="14" t="s">
        <v>145</v>
      </c>
      <c r="F103" s="39" t="s">
        <v>145</v>
      </c>
      <c r="G103" s="14" t="s">
        <v>145</v>
      </c>
      <c r="H103" s="14" t="s">
        <v>145</v>
      </c>
      <c r="I103" s="14" t="s">
        <v>145</v>
      </c>
      <c r="J103" s="14" t="s">
        <v>145</v>
      </c>
      <c r="K103" s="14" t="s">
        <v>145</v>
      </c>
      <c r="L103" s="14" t="s">
        <v>145</v>
      </c>
      <c r="M103" s="14" t="s">
        <v>145</v>
      </c>
      <c r="N103" s="41" t="s">
        <v>145</v>
      </c>
    </row>
    <row r="104" spans="1:14" x14ac:dyDescent="0.3">
      <c r="A104" s="39" t="s">
        <v>145</v>
      </c>
      <c r="B104" s="14" t="s">
        <v>145</v>
      </c>
      <c r="C104" s="14" t="s">
        <v>145</v>
      </c>
      <c r="D104" s="14" t="s">
        <v>145</v>
      </c>
      <c r="E104" s="14" t="s">
        <v>145</v>
      </c>
      <c r="F104" s="39" t="s">
        <v>145</v>
      </c>
      <c r="G104" s="14" t="s">
        <v>145</v>
      </c>
      <c r="H104" s="14" t="s">
        <v>145</v>
      </c>
      <c r="I104" s="14" t="s">
        <v>145</v>
      </c>
      <c r="J104" s="14" t="s">
        <v>145</v>
      </c>
      <c r="K104" s="14" t="s">
        <v>145</v>
      </c>
      <c r="L104" s="14" t="s">
        <v>145</v>
      </c>
      <c r="M104" s="14" t="s">
        <v>145</v>
      </c>
      <c r="N104" s="41" t="s">
        <v>145</v>
      </c>
    </row>
    <row r="105" spans="1:14" x14ac:dyDescent="0.3">
      <c r="A105" s="39" t="s">
        <v>145</v>
      </c>
      <c r="B105" s="14" t="s">
        <v>145</v>
      </c>
      <c r="C105" s="14" t="s">
        <v>145</v>
      </c>
      <c r="D105" s="14" t="s">
        <v>145</v>
      </c>
      <c r="E105" s="14" t="s">
        <v>145</v>
      </c>
      <c r="F105" s="39" t="s">
        <v>145</v>
      </c>
      <c r="G105" s="14" t="s">
        <v>145</v>
      </c>
      <c r="H105" s="14" t="s">
        <v>145</v>
      </c>
      <c r="I105" s="14" t="s">
        <v>145</v>
      </c>
      <c r="J105" s="14" t="s">
        <v>145</v>
      </c>
      <c r="K105" s="14" t="s">
        <v>145</v>
      </c>
      <c r="L105" s="14" t="s">
        <v>145</v>
      </c>
      <c r="M105" s="14" t="s">
        <v>145</v>
      </c>
      <c r="N105" s="41" t="s">
        <v>145</v>
      </c>
    </row>
    <row r="106" spans="1:14" x14ac:dyDescent="0.3">
      <c r="A106" s="39" t="s">
        <v>145</v>
      </c>
      <c r="B106" s="14" t="s">
        <v>145</v>
      </c>
      <c r="C106" s="14" t="s">
        <v>145</v>
      </c>
      <c r="D106" s="14" t="s">
        <v>145</v>
      </c>
      <c r="E106" s="14" t="s">
        <v>145</v>
      </c>
      <c r="F106" s="39" t="s">
        <v>145</v>
      </c>
      <c r="G106" s="14" t="s">
        <v>145</v>
      </c>
      <c r="H106" s="14" t="s">
        <v>145</v>
      </c>
      <c r="I106" s="14" t="s">
        <v>145</v>
      </c>
      <c r="J106" s="14" t="s">
        <v>145</v>
      </c>
      <c r="K106" s="14" t="s">
        <v>145</v>
      </c>
      <c r="L106" s="14" t="s">
        <v>145</v>
      </c>
      <c r="M106" s="14" t="s">
        <v>145</v>
      </c>
      <c r="N106" s="41" t="s">
        <v>145</v>
      </c>
    </row>
    <row r="107" spans="1:14" x14ac:dyDescent="0.3">
      <c r="A107" s="39" t="s">
        <v>145</v>
      </c>
      <c r="B107" s="14" t="s">
        <v>145</v>
      </c>
      <c r="C107" s="14" t="s">
        <v>145</v>
      </c>
      <c r="D107" s="14" t="s">
        <v>145</v>
      </c>
      <c r="E107" s="14" t="s">
        <v>145</v>
      </c>
      <c r="F107" s="39" t="s">
        <v>145</v>
      </c>
      <c r="G107" s="14" t="s">
        <v>145</v>
      </c>
      <c r="H107" s="14" t="s">
        <v>145</v>
      </c>
      <c r="I107" s="14" t="s">
        <v>145</v>
      </c>
      <c r="J107" s="14" t="s">
        <v>145</v>
      </c>
      <c r="K107" s="14" t="s">
        <v>145</v>
      </c>
      <c r="L107" s="14" t="s">
        <v>145</v>
      </c>
      <c r="M107" s="14" t="s">
        <v>145</v>
      </c>
      <c r="N107" s="41" t="s">
        <v>145</v>
      </c>
    </row>
    <row r="108" spans="1:14" x14ac:dyDescent="0.3">
      <c r="A108" s="39" t="s">
        <v>145</v>
      </c>
      <c r="B108" s="14" t="s">
        <v>145</v>
      </c>
      <c r="C108" s="14" t="s">
        <v>145</v>
      </c>
      <c r="D108" s="14" t="s">
        <v>145</v>
      </c>
      <c r="E108" s="14" t="s">
        <v>145</v>
      </c>
      <c r="F108" s="39" t="s">
        <v>145</v>
      </c>
      <c r="G108" s="14" t="s">
        <v>145</v>
      </c>
      <c r="H108" s="14" t="s">
        <v>145</v>
      </c>
      <c r="I108" s="14" t="s">
        <v>145</v>
      </c>
      <c r="J108" s="14" t="s">
        <v>145</v>
      </c>
      <c r="K108" s="14" t="s">
        <v>145</v>
      </c>
      <c r="L108" s="14" t="s">
        <v>145</v>
      </c>
      <c r="M108" s="14" t="s">
        <v>145</v>
      </c>
      <c r="N108" s="41" t="s">
        <v>145</v>
      </c>
    </row>
    <row r="109" spans="1:14" x14ac:dyDescent="0.3">
      <c r="A109" s="39" t="s">
        <v>145</v>
      </c>
      <c r="B109" s="14" t="s">
        <v>145</v>
      </c>
      <c r="C109" s="14" t="s">
        <v>145</v>
      </c>
      <c r="D109" s="14" t="s">
        <v>145</v>
      </c>
      <c r="E109" s="14" t="s">
        <v>145</v>
      </c>
      <c r="F109" s="39" t="s">
        <v>145</v>
      </c>
      <c r="G109" s="14" t="s">
        <v>145</v>
      </c>
      <c r="H109" s="14" t="s">
        <v>145</v>
      </c>
      <c r="I109" s="14" t="s">
        <v>145</v>
      </c>
      <c r="J109" s="14" t="s">
        <v>145</v>
      </c>
      <c r="K109" s="14" t="s">
        <v>145</v>
      </c>
      <c r="L109" s="14" t="s">
        <v>145</v>
      </c>
      <c r="M109" s="14" t="s">
        <v>145</v>
      </c>
      <c r="N109" s="41" t="s">
        <v>145</v>
      </c>
    </row>
    <row r="110" spans="1:14" x14ac:dyDescent="0.3">
      <c r="A110" s="39" t="s">
        <v>145</v>
      </c>
      <c r="B110" s="14" t="s">
        <v>145</v>
      </c>
      <c r="C110" s="14" t="s">
        <v>145</v>
      </c>
      <c r="D110" s="14" t="s">
        <v>145</v>
      </c>
      <c r="E110" s="14" t="s">
        <v>145</v>
      </c>
      <c r="F110" s="39" t="s">
        <v>145</v>
      </c>
      <c r="G110" s="14" t="s">
        <v>145</v>
      </c>
      <c r="H110" s="14" t="s">
        <v>145</v>
      </c>
      <c r="I110" s="14" t="s">
        <v>145</v>
      </c>
      <c r="J110" s="14" t="s">
        <v>145</v>
      </c>
      <c r="K110" s="14" t="s">
        <v>145</v>
      </c>
      <c r="L110" s="14" t="s">
        <v>145</v>
      </c>
      <c r="M110" s="14" t="s">
        <v>145</v>
      </c>
      <c r="N110" s="41" t="s">
        <v>145</v>
      </c>
    </row>
    <row r="111" spans="1:14" x14ac:dyDescent="0.3">
      <c r="A111" s="39" t="s">
        <v>145</v>
      </c>
      <c r="B111" s="14" t="s">
        <v>145</v>
      </c>
      <c r="C111" s="14" t="s">
        <v>145</v>
      </c>
      <c r="D111" s="14" t="s">
        <v>145</v>
      </c>
      <c r="E111" s="14" t="s">
        <v>145</v>
      </c>
      <c r="F111" s="39" t="s">
        <v>145</v>
      </c>
      <c r="G111" s="14" t="s">
        <v>145</v>
      </c>
      <c r="H111" s="14" t="s">
        <v>145</v>
      </c>
      <c r="I111" s="14" t="s">
        <v>145</v>
      </c>
      <c r="J111" s="14" t="s">
        <v>145</v>
      </c>
      <c r="K111" s="14" t="s">
        <v>145</v>
      </c>
      <c r="L111" s="14" t="s">
        <v>145</v>
      </c>
      <c r="M111" s="14" t="s">
        <v>145</v>
      </c>
      <c r="N111" s="41" t="s">
        <v>145</v>
      </c>
    </row>
    <row r="112" spans="1:14" x14ac:dyDescent="0.3">
      <c r="A112" s="39" t="s">
        <v>145</v>
      </c>
      <c r="B112" s="14" t="s">
        <v>145</v>
      </c>
      <c r="C112" s="14" t="s">
        <v>145</v>
      </c>
      <c r="D112" s="14" t="s">
        <v>145</v>
      </c>
      <c r="E112" s="14" t="s">
        <v>145</v>
      </c>
      <c r="F112" s="39" t="s">
        <v>145</v>
      </c>
      <c r="G112" s="14" t="s">
        <v>145</v>
      </c>
      <c r="H112" s="14" t="s">
        <v>145</v>
      </c>
      <c r="I112" s="14" t="s">
        <v>145</v>
      </c>
      <c r="J112" s="14" t="s">
        <v>145</v>
      </c>
      <c r="K112" s="14" t="s">
        <v>145</v>
      </c>
      <c r="L112" s="14" t="s">
        <v>145</v>
      </c>
      <c r="M112" s="14" t="s">
        <v>145</v>
      </c>
      <c r="N112" s="41" t="s">
        <v>145</v>
      </c>
    </row>
    <row r="113" spans="1:14" x14ac:dyDescent="0.3">
      <c r="A113" s="39" t="s">
        <v>145</v>
      </c>
      <c r="B113" s="14" t="s">
        <v>145</v>
      </c>
      <c r="C113" s="14" t="s">
        <v>145</v>
      </c>
      <c r="D113" s="14" t="s">
        <v>145</v>
      </c>
      <c r="E113" s="14" t="s">
        <v>145</v>
      </c>
      <c r="F113" s="39" t="s">
        <v>145</v>
      </c>
      <c r="G113" s="14" t="s">
        <v>145</v>
      </c>
      <c r="H113" s="14" t="s">
        <v>145</v>
      </c>
      <c r="I113" s="14" t="s">
        <v>145</v>
      </c>
      <c r="J113" s="14" t="s">
        <v>145</v>
      </c>
      <c r="K113" s="14" t="s">
        <v>145</v>
      </c>
      <c r="L113" s="14" t="s">
        <v>145</v>
      </c>
      <c r="M113" s="14" t="s">
        <v>145</v>
      </c>
      <c r="N113" s="41" t="s">
        <v>145</v>
      </c>
    </row>
    <row r="114" spans="1:14" x14ac:dyDescent="0.3">
      <c r="A114" s="39" t="s">
        <v>145</v>
      </c>
      <c r="B114" s="14" t="s">
        <v>145</v>
      </c>
      <c r="C114" s="14" t="s">
        <v>145</v>
      </c>
      <c r="D114" s="14" t="s">
        <v>145</v>
      </c>
      <c r="E114" s="14" t="s">
        <v>145</v>
      </c>
      <c r="F114" s="39" t="s">
        <v>145</v>
      </c>
      <c r="G114" s="14" t="s">
        <v>145</v>
      </c>
      <c r="H114" s="14" t="s">
        <v>145</v>
      </c>
      <c r="I114" s="14" t="s">
        <v>145</v>
      </c>
      <c r="J114" s="14" t="s">
        <v>145</v>
      </c>
      <c r="K114" s="14" t="s">
        <v>145</v>
      </c>
      <c r="L114" s="14" t="s">
        <v>145</v>
      </c>
      <c r="M114" s="14" t="s">
        <v>145</v>
      </c>
      <c r="N114" s="41" t="s">
        <v>145</v>
      </c>
    </row>
    <row r="115" spans="1:14" x14ac:dyDescent="0.3">
      <c r="A115" s="39" t="s">
        <v>145</v>
      </c>
      <c r="B115" s="14" t="s">
        <v>145</v>
      </c>
      <c r="C115" s="14" t="s">
        <v>145</v>
      </c>
      <c r="D115" s="14" t="s">
        <v>145</v>
      </c>
      <c r="E115" s="14" t="s">
        <v>145</v>
      </c>
      <c r="F115" s="39" t="s">
        <v>145</v>
      </c>
      <c r="G115" s="14" t="s">
        <v>145</v>
      </c>
      <c r="H115" s="14" t="s">
        <v>145</v>
      </c>
      <c r="I115" s="14" t="s">
        <v>145</v>
      </c>
      <c r="J115" s="14" t="s">
        <v>145</v>
      </c>
      <c r="K115" s="14" t="s">
        <v>145</v>
      </c>
      <c r="L115" s="14" t="s">
        <v>145</v>
      </c>
      <c r="M115" s="14" t="s">
        <v>145</v>
      </c>
      <c r="N115" s="41" t="s">
        <v>145</v>
      </c>
    </row>
    <row r="116" spans="1:14" x14ac:dyDescent="0.3">
      <c r="A116" s="39" t="s">
        <v>145</v>
      </c>
      <c r="B116" s="14" t="s">
        <v>145</v>
      </c>
      <c r="C116" s="14" t="s">
        <v>145</v>
      </c>
      <c r="D116" s="14" t="s">
        <v>145</v>
      </c>
      <c r="E116" s="14" t="s">
        <v>145</v>
      </c>
      <c r="F116" s="39" t="s">
        <v>145</v>
      </c>
      <c r="G116" s="14" t="s">
        <v>145</v>
      </c>
      <c r="H116" s="14" t="s">
        <v>145</v>
      </c>
      <c r="I116" s="14" t="s">
        <v>145</v>
      </c>
      <c r="J116" s="14" t="s">
        <v>145</v>
      </c>
      <c r="K116" s="14" t="s">
        <v>145</v>
      </c>
      <c r="L116" s="14" t="s">
        <v>145</v>
      </c>
      <c r="M116" s="14" t="s">
        <v>145</v>
      </c>
      <c r="N116" s="41" t="s">
        <v>145</v>
      </c>
    </row>
    <row r="117" spans="1:14" x14ac:dyDescent="0.3">
      <c r="A117" s="39" t="s">
        <v>145</v>
      </c>
      <c r="B117" s="14" t="s">
        <v>145</v>
      </c>
      <c r="C117" s="14" t="s">
        <v>145</v>
      </c>
      <c r="D117" s="14" t="s">
        <v>145</v>
      </c>
      <c r="E117" s="14" t="s">
        <v>145</v>
      </c>
      <c r="F117" s="39" t="s">
        <v>145</v>
      </c>
      <c r="G117" s="14" t="s">
        <v>145</v>
      </c>
      <c r="H117" s="14" t="s">
        <v>145</v>
      </c>
      <c r="I117" s="14" t="s">
        <v>145</v>
      </c>
      <c r="J117" s="14" t="s">
        <v>145</v>
      </c>
      <c r="K117" s="14" t="s">
        <v>145</v>
      </c>
      <c r="L117" s="14" t="s">
        <v>145</v>
      </c>
      <c r="M117" s="14" t="s">
        <v>145</v>
      </c>
      <c r="N117" s="41" t="s">
        <v>145</v>
      </c>
    </row>
    <row r="118" spans="1:14" x14ac:dyDescent="0.3">
      <c r="A118" s="39" t="s">
        <v>145</v>
      </c>
      <c r="B118" s="14" t="s">
        <v>145</v>
      </c>
      <c r="C118" s="14" t="s">
        <v>145</v>
      </c>
      <c r="D118" s="14" t="s">
        <v>145</v>
      </c>
      <c r="E118" s="14" t="s">
        <v>145</v>
      </c>
      <c r="F118" s="39" t="s">
        <v>145</v>
      </c>
      <c r="G118" s="14" t="s">
        <v>145</v>
      </c>
      <c r="H118" s="14" t="s">
        <v>145</v>
      </c>
      <c r="I118" s="14" t="s">
        <v>145</v>
      </c>
      <c r="J118" s="14" t="s">
        <v>145</v>
      </c>
      <c r="K118" s="14" t="s">
        <v>145</v>
      </c>
      <c r="L118" s="14" t="s">
        <v>145</v>
      </c>
      <c r="M118" s="14" t="s">
        <v>145</v>
      </c>
      <c r="N118" s="41" t="s">
        <v>145</v>
      </c>
    </row>
    <row r="119" spans="1:14" x14ac:dyDescent="0.3">
      <c r="A119" s="39" t="s">
        <v>145</v>
      </c>
      <c r="B119" s="14" t="s">
        <v>145</v>
      </c>
      <c r="C119" s="14" t="s">
        <v>145</v>
      </c>
      <c r="D119" s="14" t="s">
        <v>145</v>
      </c>
      <c r="E119" s="14" t="s">
        <v>145</v>
      </c>
      <c r="F119" s="39" t="s">
        <v>145</v>
      </c>
      <c r="G119" s="14" t="s">
        <v>145</v>
      </c>
      <c r="H119" s="14" t="s">
        <v>145</v>
      </c>
      <c r="I119" s="14" t="s">
        <v>145</v>
      </c>
      <c r="J119" s="14" t="s">
        <v>145</v>
      </c>
      <c r="K119" s="14" t="s">
        <v>145</v>
      </c>
      <c r="L119" s="14" t="s">
        <v>145</v>
      </c>
      <c r="M119" s="14" t="s">
        <v>145</v>
      </c>
      <c r="N119" s="41" t="s">
        <v>145</v>
      </c>
    </row>
    <row r="120" spans="1:14" x14ac:dyDescent="0.3">
      <c r="A120" s="39" t="s">
        <v>145</v>
      </c>
      <c r="B120" s="14" t="s">
        <v>145</v>
      </c>
      <c r="C120" s="14" t="s">
        <v>145</v>
      </c>
      <c r="D120" s="14" t="s">
        <v>145</v>
      </c>
      <c r="E120" s="14" t="s">
        <v>145</v>
      </c>
      <c r="F120" s="39" t="s">
        <v>145</v>
      </c>
      <c r="G120" s="14" t="s">
        <v>145</v>
      </c>
      <c r="H120" s="14" t="s">
        <v>145</v>
      </c>
      <c r="I120" s="14" t="s">
        <v>145</v>
      </c>
      <c r="J120" s="14" t="s">
        <v>145</v>
      </c>
      <c r="K120" s="14" t="s">
        <v>145</v>
      </c>
      <c r="L120" s="14" t="s">
        <v>145</v>
      </c>
      <c r="M120" s="14" t="s">
        <v>145</v>
      </c>
      <c r="N120" s="41" t="s">
        <v>145</v>
      </c>
    </row>
    <row r="121" spans="1:14" x14ac:dyDescent="0.3">
      <c r="A121" s="39" t="s">
        <v>145</v>
      </c>
      <c r="B121" s="14" t="s">
        <v>145</v>
      </c>
      <c r="C121" s="14" t="s">
        <v>145</v>
      </c>
      <c r="D121" s="14" t="s">
        <v>145</v>
      </c>
      <c r="E121" s="14" t="s">
        <v>145</v>
      </c>
      <c r="F121" s="39" t="s">
        <v>145</v>
      </c>
      <c r="G121" s="14" t="s">
        <v>145</v>
      </c>
      <c r="H121" s="14" t="s">
        <v>145</v>
      </c>
      <c r="I121" s="14" t="s">
        <v>145</v>
      </c>
      <c r="J121" s="14" t="s">
        <v>145</v>
      </c>
      <c r="K121" s="14" t="s">
        <v>145</v>
      </c>
      <c r="L121" s="14" t="s">
        <v>145</v>
      </c>
      <c r="M121" s="14" t="s">
        <v>145</v>
      </c>
      <c r="N121" s="41" t="s">
        <v>145</v>
      </c>
    </row>
    <row r="122" spans="1:14" x14ac:dyDescent="0.3">
      <c r="A122" s="39" t="s">
        <v>145</v>
      </c>
      <c r="B122" s="14" t="s">
        <v>145</v>
      </c>
      <c r="C122" s="14" t="s">
        <v>145</v>
      </c>
      <c r="D122" s="14" t="s">
        <v>145</v>
      </c>
      <c r="E122" s="14" t="s">
        <v>145</v>
      </c>
      <c r="F122" s="39" t="s">
        <v>145</v>
      </c>
      <c r="G122" s="14" t="s">
        <v>145</v>
      </c>
      <c r="H122" s="14" t="s">
        <v>145</v>
      </c>
      <c r="I122" s="14" t="s">
        <v>145</v>
      </c>
      <c r="J122" s="14" t="s">
        <v>145</v>
      </c>
      <c r="K122" s="14" t="s">
        <v>145</v>
      </c>
      <c r="L122" s="14" t="s">
        <v>145</v>
      </c>
      <c r="M122" s="14" t="s">
        <v>145</v>
      </c>
      <c r="N122" s="41" t="s">
        <v>145</v>
      </c>
    </row>
    <row r="123" spans="1:14" x14ac:dyDescent="0.3">
      <c r="A123" s="39" t="s">
        <v>145</v>
      </c>
      <c r="B123" s="14" t="s">
        <v>145</v>
      </c>
      <c r="C123" s="14" t="s">
        <v>145</v>
      </c>
      <c r="D123" s="14" t="s">
        <v>145</v>
      </c>
      <c r="E123" s="14" t="s">
        <v>145</v>
      </c>
      <c r="F123" s="39" t="s">
        <v>145</v>
      </c>
      <c r="G123" s="14" t="s">
        <v>145</v>
      </c>
      <c r="H123" s="14" t="s">
        <v>145</v>
      </c>
      <c r="I123" s="14" t="s">
        <v>145</v>
      </c>
      <c r="J123" s="14" t="s">
        <v>145</v>
      </c>
      <c r="K123" s="14" t="s">
        <v>145</v>
      </c>
      <c r="L123" s="14" t="s">
        <v>145</v>
      </c>
      <c r="M123" s="14" t="s">
        <v>145</v>
      </c>
      <c r="N123" s="41" t="s">
        <v>145</v>
      </c>
    </row>
    <row r="124" spans="1:14" x14ac:dyDescent="0.3">
      <c r="A124" s="39" t="s">
        <v>145</v>
      </c>
      <c r="B124" s="14" t="s">
        <v>145</v>
      </c>
      <c r="C124" s="14" t="s">
        <v>145</v>
      </c>
      <c r="D124" s="14" t="s">
        <v>145</v>
      </c>
      <c r="E124" s="14" t="s">
        <v>145</v>
      </c>
      <c r="F124" s="39" t="s">
        <v>145</v>
      </c>
      <c r="G124" s="14" t="s">
        <v>145</v>
      </c>
      <c r="H124" s="14" t="s">
        <v>145</v>
      </c>
      <c r="I124" s="14" t="s">
        <v>145</v>
      </c>
      <c r="J124" s="14" t="s">
        <v>145</v>
      </c>
      <c r="K124" s="14" t="s">
        <v>145</v>
      </c>
      <c r="L124" s="14" t="s">
        <v>145</v>
      </c>
      <c r="M124" s="14" t="s">
        <v>145</v>
      </c>
      <c r="N124" s="41" t="s">
        <v>145</v>
      </c>
    </row>
    <row r="125" spans="1:14" x14ac:dyDescent="0.3">
      <c r="A125" s="39" t="s">
        <v>145</v>
      </c>
      <c r="B125" s="14" t="s">
        <v>145</v>
      </c>
      <c r="C125" s="14" t="s">
        <v>145</v>
      </c>
      <c r="D125" s="14" t="s">
        <v>145</v>
      </c>
      <c r="E125" s="14" t="s">
        <v>145</v>
      </c>
      <c r="F125" s="39" t="s">
        <v>145</v>
      </c>
      <c r="G125" s="14" t="s">
        <v>145</v>
      </c>
      <c r="H125" s="14" t="s">
        <v>145</v>
      </c>
      <c r="I125" s="14" t="s">
        <v>145</v>
      </c>
      <c r="J125" s="14" t="s">
        <v>145</v>
      </c>
      <c r="K125" s="14" t="s">
        <v>145</v>
      </c>
      <c r="L125" s="14" t="s">
        <v>145</v>
      </c>
      <c r="M125" s="14" t="s">
        <v>145</v>
      </c>
      <c r="N125" s="41" t="s">
        <v>145</v>
      </c>
    </row>
    <row r="126" spans="1:14" x14ac:dyDescent="0.3">
      <c r="A126" s="39" t="s">
        <v>145</v>
      </c>
      <c r="B126" s="14" t="s">
        <v>145</v>
      </c>
      <c r="C126" s="14" t="s">
        <v>145</v>
      </c>
      <c r="D126" s="14" t="s">
        <v>145</v>
      </c>
      <c r="E126" s="14" t="s">
        <v>145</v>
      </c>
      <c r="F126" s="39" t="s">
        <v>145</v>
      </c>
      <c r="G126" s="14" t="s">
        <v>145</v>
      </c>
      <c r="H126" s="14" t="s">
        <v>145</v>
      </c>
      <c r="I126" s="14" t="s">
        <v>145</v>
      </c>
      <c r="J126" s="14" t="s">
        <v>145</v>
      </c>
      <c r="K126" s="14" t="s">
        <v>145</v>
      </c>
      <c r="L126" s="14" t="s">
        <v>145</v>
      </c>
      <c r="M126" s="14" t="s">
        <v>145</v>
      </c>
      <c r="N126" s="41" t="s">
        <v>145</v>
      </c>
    </row>
    <row r="127" spans="1:14" x14ac:dyDescent="0.3">
      <c r="A127" s="39" t="s">
        <v>145</v>
      </c>
      <c r="B127" s="14" t="s">
        <v>145</v>
      </c>
      <c r="C127" s="14" t="s">
        <v>145</v>
      </c>
      <c r="D127" s="14" t="s">
        <v>145</v>
      </c>
      <c r="E127" s="14" t="s">
        <v>145</v>
      </c>
      <c r="F127" s="39" t="s">
        <v>145</v>
      </c>
      <c r="G127" s="14" t="s">
        <v>145</v>
      </c>
      <c r="H127" s="14" t="s">
        <v>145</v>
      </c>
      <c r="I127" s="14" t="s">
        <v>145</v>
      </c>
      <c r="J127" s="14" t="s">
        <v>145</v>
      </c>
      <c r="K127" s="14" t="s">
        <v>145</v>
      </c>
      <c r="L127" s="14" t="s">
        <v>145</v>
      </c>
      <c r="M127" s="14" t="s">
        <v>145</v>
      </c>
      <c r="N127" s="41" t="s">
        <v>145</v>
      </c>
    </row>
    <row r="128" spans="1:14" x14ac:dyDescent="0.3">
      <c r="A128" s="39" t="s">
        <v>145</v>
      </c>
      <c r="B128" s="14" t="s">
        <v>145</v>
      </c>
      <c r="C128" s="14" t="s">
        <v>145</v>
      </c>
      <c r="D128" s="14" t="s">
        <v>145</v>
      </c>
      <c r="E128" s="14" t="s">
        <v>145</v>
      </c>
      <c r="F128" s="39" t="s">
        <v>145</v>
      </c>
      <c r="G128" s="14" t="s">
        <v>145</v>
      </c>
      <c r="H128" s="14" t="s">
        <v>145</v>
      </c>
      <c r="I128" s="14" t="s">
        <v>145</v>
      </c>
      <c r="J128" s="14" t="s">
        <v>145</v>
      </c>
      <c r="K128" s="14" t="s">
        <v>145</v>
      </c>
      <c r="L128" s="14" t="s">
        <v>145</v>
      </c>
      <c r="M128" s="14" t="s">
        <v>145</v>
      </c>
      <c r="N128" s="41" t="s">
        <v>145</v>
      </c>
    </row>
    <row r="129" spans="1:14" x14ac:dyDescent="0.3">
      <c r="A129" s="39" t="s">
        <v>145</v>
      </c>
      <c r="B129" s="14" t="s">
        <v>145</v>
      </c>
      <c r="C129" s="14" t="s">
        <v>145</v>
      </c>
      <c r="D129" s="14" t="s">
        <v>145</v>
      </c>
      <c r="E129" s="14" t="s">
        <v>145</v>
      </c>
      <c r="F129" s="39" t="s">
        <v>145</v>
      </c>
      <c r="G129" s="14" t="s">
        <v>145</v>
      </c>
      <c r="H129" s="14" t="s">
        <v>145</v>
      </c>
      <c r="I129" s="14" t="s">
        <v>145</v>
      </c>
      <c r="J129" s="14" t="s">
        <v>145</v>
      </c>
      <c r="K129" s="14" t="s">
        <v>145</v>
      </c>
      <c r="L129" s="14" t="s">
        <v>145</v>
      </c>
      <c r="M129" s="14" t="s">
        <v>145</v>
      </c>
      <c r="N129" s="41" t="s">
        <v>145</v>
      </c>
    </row>
    <row r="130" spans="1:14" x14ac:dyDescent="0.3">
      <c r="A130" s="39" t="s">
        <v>145</v>
      </c>
      <c r="B130" s="14" t="s">
        <v>145</v>
      </c>
      <c r="C130" s="14" t="s">
        <v>145</v>
      </c>
      <c r="D130" s="14" t="s">
        <v>145</v>
      </c>
      <c r="E130" s="14" t="s">
        <v>145</v>
      </c>
      <c r="F130" s="39" t="s">
        <v>145</v>
      </c>
      <c r="G130" s="14" t="s">
        <v>145</v>
      </c>
      <c r="H130" s="14" t="s">
        <v>145</v>
      </c>
      <c r="I130" s="14" t="s">
        <v>145</v>
      </c>
      <c r="J130" s="14" t="s">
        <v>145</v>
      </c>
      <c r="K130" s="14" t="s">
        <v>145</v>
      </c>
      <c r="L130" s="14" t="s">
        <v>145</v>
      </c>
      <c r="M130" s="14" t="s">
        <v>145</v>
      </c>
      <c r="N130" s="41" t="s">
        <v>145</v>
      </c>
    </row>
    <row r="131" spans="1:14" x14ac:dyDescent="0.3">
      <c r="A131" s="39" t="s">
        <v>145</v>
      </c>
      <c r="B131" s="14" t="s">
        <v>145</v>
      </c>
      <c r="C131" s="14" t="s">
        <v>145</v>
      </c>
      <c r="D131" s="14" t="s">
        <v>145</v>
      </c>
      <c r="E131" s="14" t="s">
        <v>145</v>
      </c>
      <c r="F131" s="39" t="s">
        <v>145</v>
      </c>
      <c r="G131" s="14" t="s">
        <v>145</v>
      </c>
      <c r="H131" s="14" t="s">
        <v>145</v>
      </c>
      <c r="I131" s="14" t="s">
        <v>145</v>
      </c>
      <c r="J131" s="14" t="s">
        <v>145</v>
      </c>
      <c r="K131" s="14" t="s">
        <v>145</v>
      </c>
      <c r="L131" s="14" t="s">
        <v>145</v>
      </c>
      <c r="M131" s="14" t="s">
        <v>145</v>
      </c>
      <c r="N131" s="41" t="s">
        <v>145</v>
      </c>
    </row>
    <row r="132" spans="1:14" x14ac:dyDescent="0.3">
      <c r="A132" s="39" t="s">
        <v>145</v>
      </c>
      <c r="B132" s="14" t="s">
        <v>145</v>
      </c>
      <c r="C132" s="14" t="s">
        <v>145</v>
      </c>
      <c r="D132" s="14" t="s">
        <v>145</v>
      </c>
      <c r="E132" s="14" t="s">
        <v>145</v>
      </c>
      <c r="F132" s="39" t="s">
        <v>145</v>
      </c>
      <c r="G132" s="14" t="s">
        <v>145</v>
      </c>
      <c r="H132" s="14" t="s">
        <v>145</v>
      </c>
      <c r="I132" s="14" t="s">
        <v>145</v>
      </c>
      <c r="J132" s="14" t="s">
        <v>145</v>
      </c>
      <c r="K132" s="14" t="s">
        <v>145</v>
      </c>
      <c r="L132" s="14" t="s">
        <v>145</v>
      </c>
      <c r="M132" s="14" t="s">
        <v>145</v>
      </c>
      <c r="N132" s="41" t="s">
        <v>145</v>
      </c>
    </row>
    <row r="133" spans="1:14" x14ac:dyDescent="0.3">
      <c r="A133" s="39" t="s">
        <v>145</v>
      </c>
      <c r="B133" s="14" t="s">
        <v>145</v>
      </c>
      <c r="C133" s="14" t="s">
        <v>145</v>
      </c>
      <c r="D133" s="14" t="s">
        <v>145</v>
      </c>
      <c r="E133" s="14" t="s">
        <v>145</v>
      </c>
      <c r="F133" s="39" t="s">
        <v>145</v>
      </c>
      <c r="G133" s="14" t="s">
        <v>145</v>
      </c>
      <c r="H133" s="14" t="s">
        <v>145</v>
      </c>
      <c r="I133" s="14" t="s">
        <v>145</v>
      </c>
      <c r="J133" s="14" t="s">
        <v>145</v>
      </c>
      <c r="K133" s="14" t="s">
        <v>145</v>
      </c>
      <c r="L133" s="14" t="s">
        <v>145</v>
      </c>
      <c r="M133" s="14" t="s">
        <v>145</v>
      </c>
      <c r="N133" s="41" t="s">
        <v>145</v>
      </c>
    </row>
    <row r="134" spans="1:14" x14ac:dyDescent="0.3">
      <c r="A134" s="39" t="s">
        <v>145</v>
      </c>
      <c r="B134" s="14" t="s">
        <v>145</v>
      </c>
      <c r="C134" s="14" t="s">
        <v>145</v>
      </c>
      <c r="D134" s="14" t="s">
        <v>145</v>
      </c>
      <c r="E134" s="14" t="s">
        <v>145</v>
      </c>
      <c r="F134" s="39" t="s">
        <v>145</v>
      </c>
      <c r="G134" s="14" t="s">
        <v>145</v>
      </c>
      <c r="H134" s="14" t="s">
        <v>145</v>
      </c>
      <c r="I134" s="14" t="s">
        <v>145</v>
      </c>
      <c r="J134" s="14" t="s">
        <v>145</v>
      </c>
      <c r="K134" s="14" t="s">
        <v>145</v>
      </c>
      <c r="L134" s="14" t="s">
        <v>145</v>
      </c>
      <c r="M134" s="14" t="s">
        <v>145</v>
      </c>
      <c r="N134" s="41" t="s">
        <v>145</v>
      </c>
    </row>
    <row r="135" spans="1:14" x14ac:dyDescent="0.3">
      <c r="A135" s="39" t="s">
        <v>145</v>
      </c>
      <c r="B135" s="14" t="s">
        <v>145</v>
      </c>
      <c r="C135" s="14" t="s">
        <v>145</v>
      </c>
      <c r="D135" s="14" t="s">
        <v>145</v>
      </c>
      <c r="E135" s="14" t="s">
        <v>145</v>
      </c>
      <c r="F135" s="39" t="s">
        <v>145</v>
      </c>
      <c r="G135" s="14" t="s">
        <v>145</v>
      </c>
      <c r="H135" s="14" t="s">
        <v>145</v>
      </c>
      <c r="I135" s="14" t="s">
        <v>145</v>
      </c>
      <c r="J135" s="14" t="s">
        <v>145</v>
      </c>
      <c r="K135" s="14" t="s">
        <v>145</v>
      </c>
      <c r="L135" s="14" t="s">
        <v>145</v>
      </c>
      <c r="M135" s="14" t="s">
        <v>145</v>
      </c>
      <c r="N135" s="41" t="s">
        <v>145</v>
      </c>
    </row>
    <row r="136" spans="1:14" x14ac:dyDescent="0.3">
      <c r="A136" s="39" t="s">
        <v>145</v>
      </c>
      <c r="B136" s="14" t="s">
        <v>145</v>
      </c>
      <c r="C136" s="14" t="s">
        <v>145</v>
      </c>
      <c r="D136" s="14" t="s">
        <v>145</v>
      </c>
      <c r="E136" s="14" t="s">
        <v>145</v>
      </c>
      <c r="F136" s="39" t="s">
        <v>145</v>
      </c>
      <c r="G136" s="14" t="s">
        <v>145</v>
      </c>
      <c r="H136" s="14" t="s">
        <v>145</v>
      </c>
      <c r="I136" s="14" t="s">
        <v>145</v>
      </c>
      <c r="J136" s="14" t="s">
        <v>145</v>
      </c>
      <c r="K136" s="14" t="s">
        <v>145</v>
      </c>
      <c r="L136" s="14" t="s">
        <v>145</v>
      </c>
      <c r="M136" s="14" t="s">
        <v>145</v>
      </c>
      <c r="N136" s="41" t="s">
        <v>145</v>
      </c>
    </row>
    <row r="137" spans="1:14" x14ac:dyDescent="0.3">
      <c r="A137" s="39" t="s">
        <v>145</v>
      </c>
      <c r="B137" s="14" t="s">
        <v>145</v>
      </c>
      <c r="C137" s="14" t="s">
        <v>145</v>
      </c>
      <c r="D137" s="14" t="s">
        <v>145</v>
      </c>
      <c r="E137" s="14" t="s">
        <v>145</v>
      </c>
      <c r="F137" s="39" t="s">
        <v>145</v>
      </c>
      <c r="G137" s="14" t="s">
        <v>145</v>
      </c>
      <c r="H137" s="14" t="s">
        <v>145</v>
      </c>
      <c r="I137" s="14" t="s">
        <v>145</v>
      </c>
      <c r="J137" s="14" t="s">
        <v>145</v>
      </c>
      <c r="K137" s="14" t="s">
        <v>145</v>
      </c>
      <c r="L137" s="14" t="s">
        <v>145</v>
      </c>
      <c r="M137" s="14" t="s">
        <v>145</v>
      </c>
      <c r="N137" s="41" t="s">
        <v>145</v>
      </c>
    </row>
    <row r="138" spans="1:14" x14ac:dyDescent="0.3">
      <c r="A138" s="39" t="s">
        <v>145</v>
      </c>
      <c r="B138" s="14" t="s">
        <v>145</v>
      </c>
      <c r="C138" s="14" t="s">
        <v>145</v>
      </c>
      <c r="D138" s="14" t="s">
        <v>145</v>
      </c>
      <c r="E138" s="14" t="s">
        <v>145</v>
      </c>
      <c r="F138" s="39" t="s">
        <v>145</v>
      </c>
      <c r="G138" s="14" t="s">
        <v>145</v>
      </c>
      <c r="H138" s="14" t="s">
        <v>145</v>
      </c>
      <c r="I138" s="14" t="s">
        <v>145</v>
      </c>
      <c r="J138" s="14" t="s">
        <v>145</v>
      </c>
      <c r="K138" s="14" t="s">
        <v>145</v>
      </c>
      <c r="L138" s="14" t="s">
        <v>145</v>
      </c>
      <c r="M138" s="14" t="s">
        <v>145</v>
      </c>
      <c r="N138" s="41" t="s">
        <v>145</v>
      </c>
    </row>
    <row r="139" spans="1:14" x14ac:dyDescent="0.3">
      <c r="A139" s="39" t="s">
        <v>145</v>
      </c>
      <c r="B139" s="14" t="s">
        <v>145</v>
      </c>
      <c r="C139" s="14" t="s">
        <v>145</v>
      </c>
      <c r="D139" s="14" t="s">
        <v>145</v>
      </c>
      <c r="E139" s="14" t="s">
        <v>145</v>
      </c>
      <c r="F139" s="39" t="s">
        <v>145</v>
      </c>
      <c r="G139" s="14" t="s">
        <v>145</v>
      </c>
      <c r="H139" s="14" t="s">
        <v>145</v>
      </c>
      <c r="I139" s="14" t="s">
        <v>145</v>
      </c>
      <c r="J139" s="14" t="s">
        <v>145</v>
      </c>
      <c r="K139" s="14" t="s">
        <v>145</v>
      </c>
      <c r="L139" s="14" t="s">
        <v>145</v>
      </c>
      <c r="M139" s="14" t="s">
        <v>145</v>
      </c>
      <c r="N139" s="41" t="s">
        <v>145</v>
      </c>
    </row>
    <row r="140" spans="1:14" x14ac:dyDescent="0.3">
      <c r="A140" s="39" t="s">
        <v>145</v>
      </c>
      <c r="B140" s="14" t="s">
        <v>145</v>
      </c>
      <c r="C140" s="14" t="s">
        <v>145</v>
      </c>
      <c r="D140" s="14" t="s">
        <v>145</v>
      </c>
      <c r="E140" s="14" t="s">
        <v>145</v>
      </c>
      <c r="F140" s="39" t="s">
        <v>145</v>
      </c>
      <c r="G140" s="14" t="s">
        <v>145</v>
      </c>
      <c r="H140" s="14" t="s">
        <v>145</v>
      </c>
      <c r="I140" s="14" t="s">
        <v>145</v>
      </c>
      <c r="J140" s="14" t="s">
        <v>145</v>
      </c>
      <c r="K140" s="14" t="s">
        <v>145</v>
      </c>
      <c r="L140" s="14" t="s">
        <v>145</v>
      </c>
      <c r="M140" s="14" t="s">
        <v>145</v>
      </c>
      <c r="N140" s="41" t="s">
        <v>145</v>
      </c>
    </row>
    <row r="141" spans="1:14" x14ac:dyDescent="0.3">
      <c r="A141" s="39" t="s">
        <v>145</v>
      </c>
      <c r="B141" s="14" t="s">
        <v>145</v>
      </c>
      <c r="C141" s="14" t="s">
        <v>145</v>
      </c>
      <c r="D141" s="14" t="s">
        <v>145</v>
      </c>
      <c r="E141" s="14" t="s">
        <v>145</v>
      </c>
      <c r="F141" s="39" t="s">
        <v>145</v>
      </c>
      <c r="G141" s="14" t="s">
        <v>145</v>
      </c>
      <c r="H141" s="14" t="s">
        <v>145</v>
      </c>
      <c r="I141" s="14" t="s">
        <v>145</v>
      </c>
      <c r="J141" s="14" t="s">
        <v>145</v>
      </c>
      <c r="K141" s="14" t="s">
        <v>145</v>
      </c>
      <c r="L141" s="14" t="s">
        <v>145</v>
      </c>
      <c r="M141" s="14" t="s">
        <v>145</v>
      </c>
      <c r="N141" s="41" t="s">
        <v>145</v>
      </c>
    </row>
    <row r="142" spans="1:14" x14ac:dyDescent="0.3">
      <c r="A142" s="39" t="s">
        <v>145</v>
      </c>
      <c r="B142" s="14" t="s">
        <v>145</v>
      </c>
      <c r="C142" s="14" t="s">
        <v>145</v>
      </c>
      <c r="D142" s="14" t="s">
        <v>145</v>
      </c>
      <c r="E142" s="14" t="s">
        <v>145</v>
      </c>
      <c r="F142" s="39" t="s">
        <v>145</v>
      </c>
      <c r="G142" s="14" t="s">
        <v>145</v>
      </c>
      <c r="H142" s="14" t="s">
        <v>145</v>
      </c>
      <c r="I142" s="14" t="s">
        <v>145</v>
      </c>
      <c r="J142" s="14" t="s">
        <v>145</v>
      </c>
      <c r="K142" s="14" t="s">
        <v>145</v>
      </c>
      <c r="L142" s="14" t="s">
        <v>145</v>
      </c>
      <c r="M142" s="14" t="s">
        <v>145</v>
      </c>
      <c r="N142" s="41" t="s">
        <v>145</v>
      </c>
    </row>
    <row r="143" spans="1:14" x14ac:dyDescent="0.3">
      <c r="A143" s="39" t="s">
        <v>145</v>
      </c>
      <c r="B143" s="14" t="s">
        <v>145</v>
      </c>
      <c r="C143" s="14" t="s">
        <v>145</v>
      </c>
      <c r="D143" s="14" t="s">
        <v>145</v>
      </c>
      <c r="E143" s="14" t="s">
        <v>145</v>
      </c>
      <c r="F143" s="39" t="s">
        <v>145</v>
      </c>
      <c r="G143" s="14" t="s">
        <v>145</v>
      </c>
      <c r="H143" s="14" t="s">
        <v>145</v>
      </c>
      <c r="I143" s="14" t="s">
        <v>145</v>
      </c>
      <c r="J143" s="14" t="s">
        <v>145</v>
      </c>
      <c r="K143" s="14" t="s">
        <v>145</v>
      </c>
      <c r="L143" s="14" t="s">
        <v>145</v>
      </c>
      <c r="M143" s="14" t="s">
        <v>145</v>
      </c>
      <c r="N143" s="41" t="s">
        <v>145</v>
      </c>
    </row>
    <row r="144" spans="1:14" x14ac:dyDescent="0.3">
      <c r="A144" s="39" t="s">
        <v>145</v>
      </c>
      <c r="B144" s="14" t="s">
        <v>145</v>
      </c>
      <c r="C144" s="14" t="s">
        <v>145</v>
      </c>
      <c r="D144" s="14" t="s">
        <v>145</v>
      </c>
      <c r="E144" s="14" t="s">
        <v>145</v>
      </c>
      <c r="F144" s="39" t="s">
        <v>145</v>
      </c>
      <c r="G144" s="14" t="s">
        <v>145</v>
      </c>
      <c r="H144" s="14" t="s">
        <v>145</v>
      </c>
      <c r="I144" s="14" t="s">
        <v>145</v>
      </c>
      <c r="J144" s="14" t="s">
        <v>145</v>
      </c>
      <c r="K144" s="14" t="s">
        <v>145</v>
      </c>
      <c r="L144" s="14" t="s">
        <v>145</v>
      </c>
      <c r="M144" s="14" t="s">
        <v>145</v>
      </c>
      <c r="N144" s="41" t="s">
        <v>145</v>
      </c>
    </row>
    <row r="145" spans="1:14" x14ac:dyDescent="0.3">
      <c r="A145" s="39" t="s">
        <v>145</v>
      </c>
      <c r="B145" s="14" t="s">
        <v>145</v>
      </c>
      <c r="C145" s="14" t="s">
        <v>145</v>
      </c>
      <c r="D145" s="14" t="s">
        <v>145</v>
      </c>
      <c r="E145" s="14" t="s">
        <v>145</v>
      </c>
      <c r="F145" s="39" t="s">
        <v>145</v>
      </c>
      <c r="G145" s="14" t="s">
        <v>145</v>
      </c>
      <c r="H145" s="14" t="s">
        <v>145</v>
      </c>
      <c r="I145" s="14" t="s">
        <v>145</v>
      </c>
      <c r="J145" s="14" t="s">
        <v>145</v>
      </c>
      <c r="K145" s="14" t="s">
        <v>145</v>
      </c>
      <c r="L145" s="14" t="s">
        <v>145</v>
      </c>
      <c r="M145" s="14" t="s">
        <v>145</v>
      </c>
      <c r="N145" s="41" t="s">
        <v>145</v>
      </c>
    </row>
    <row r="146" spans="1:14" x14ac:dyDescent="0.3">
      <c r="A146" s="39" t="s">
        <v>145</v>
      </c>
      <c r="B146" s="14" t="s">
        <v>145</v>
      </c>
      <c r="C146" s="14" t="s">
        <v>145</v>
      </c>
      <c r="D146" s="14" t="s">
        <v>145</v>
      </c>
      <c r="E146" s="14" t="s">
        <v>145</v>
      </c>
      <c r="F146" s="39" t="s">
        <v>145</v>
      </c>
      <c r="G146" s="14" t="s">
        <v>145</v>
      </c>
      <c r="H146" s="14" t="s">
        <v>145</v>
      </c>
      <c r="I146" s="14" t="s">
        <v>145</v>
      </c>
      <c r="J146" s="14" t="s">
        <v>145</v>
      </c>
      <c r="K146" s="14" t="s">
        <v>145</v>
      </c>
      <c r="L146" s="14" t="s">
        <v>145</v>
      </c>
      <c r="M146" s="14" t="s">
        <v>145</v>
      </c>
      <c r="N146" s="41" t="s">
        <v>145</v>
      </c>
    </row>
    <row r="147" spans="1:14" x14ac:dyDescent="0.3">
      <c r="A147" s="39" t="s">
        <v>145</v>
      </c>
      <c r="B147" s="14" t="s">
        <v>145</v>
      </c>
      <c r="C147" s="14" t="s">
        <v>145</v>
      </c>
      <c r="D147" s="14" t="s">
        <v>145</v>
      </c>
      <c r="E147" s="14" t="s">
        <v>145</v>
      </c>
      <c r="F147" s="39" t="s">
        <v>145</v>
      </c>
      <c r="G147" s="14" t="s">
        <v>145</v>
      </c>
      <c r="H147" s="14" t="s">
        <v>145</v>
      </c>
      <c r="I147" s="14" t="s">
        <v>145</v>
      </c>
      <c r="J147" s="14" t="s">
        <v>145</v>
      </c>
      <c r="K147" s="14" t="s">
        <v>145</v>
      </c>
      <c r="L147" s="14" t="s">
        <v>145</v>
      </c>
      <c r="M147" s="14" t="s">
        <v>145</v>
      </c>
      <c r="N147" s="41" t="s">
        <v>145</v>
      </c>
    </row>
    <row r="148" spans="1:14" x14ac:dyDescent="0.3">
      <c r="A148" s="39" t="s">
        <v>145</v>
      </c>
      <c r="B148" s="14" t="s">
        <v>145</v>
      </c>
      <c r="C148" s="14" t="s">
        <v>145</v>
      </c>
      <c r="D148" s="14" t="s">
        <v>145</v>
      </c>
      <c r="E148" s="14" t="s">
        <v>145</v>
      </c>
      <c r="F148" s="39" t="s">
        <v>145</v>
      </c>
      <c r="G148" s="14" t="s">
        <v>145</v>
      </c>
      <c r="H148" s="14" t="s">
        <v>145</v>
      </c>
      <c r="I148" s="14" t="s">
        <v>145</v>
      </c>
      <c r="J148" s="14" t="s">
        <v>145</v>
      </c>
      <c r="K148" s="14" t="s">
        <v>145</v>
      </c>
      <c r="L148" s="14" t="s">
        <v>145</v>
      </c>
      <c r="M148" s="14" t="s">
        <v>145</v>
      </c>
      <c r="N148" s="41" t="s">
        <v>145</v>
      </c>
    </row>
    <row r="149" spans="1:14" x14ac:dyDescent="0.3">
      <c r="A149" s="39" t="s">
        <v>145</v>
      </c>
      <c r="B149" s="14" t="s">
        <v>145</v>
      </c>
      <c r="C149" s="14" t="s">
        <v>145</v>
      </c>
      <c r="D149" s="14" t="s">
        <v>145</v>
      </c>
      <c r="E149" s="14" t="s">
        <v>145</v>
      </c>
      <c r="F149" s="39" t="s">
        <v>145</v>
      </c>
      <c r="G149" s="14" t="s">
        <v>145</v>
      </c>
      <c r="H149" s="14" t="s">
        <v>145</v>
      </c>
      <c r="I149" s="14" t="s">
        <v>145</v>
      </c>
      <c r="J149" s="14" t="s">
        <v>145</v>
      </c>
      <c r="K149" s="14" t="s">
        <v>145</v>
      </c>
      <c r="L149" s="14" t="s">
        <v>145</v>
      </c>
      <c r="M149" s="14" t="s">
        <v>145</v>
      </c>
      <c r="N149" s="41" t="s">
        <v>145</v>
      </c>
    </row>
    <row r="150" spans="1:14" x14ac:dyDescent="0.3">
      <c r="A150" s="39" t="s">
        <v>145</v>
      </c>
      <c r="B150" s="14" t="s">
        <v>145</v>
      </c>
      <c r="C150" s="14" t="s">
        <v>145</v>
      </c>
      <c r="D150" s="14" t="s">
        <v>145</v>
      </c>
      <c r="E150" s="14" t="s">
        <v>145</v>
      </c>
      <c r="F150" s="39" t="s">
        <v>145</v>
      </c>
      <c r="G150" s="14" t="s">
        <v>145</v>
      </c>
      <c r="H150" s="14" t="s">
        <v>145</v>
      </c>
      <c r="I150" s="14" t="s">
        <v>145</v>
      </c>
      <c r="J150" s="14" t="s">
        <v>145</v>
      </c>
      <c r="K150" s="14" t="s">
        <v>145</v>
      </c>
      <c r="L150" s="14" t="s">
        <v>145</v>
      </c>
      <c r="M150" s="14" t="s">
        <v>145</v>
      </c>
      <c r="N150" s="41" t="s">
        <v>145</v>
      </c>
    </row>
    <row r="151" spans="1:14" x14ac:dyDescent="0.3">
      <c r="A151" s="39" t="s">
        <v>145</v>
      </c>
      <c r="B151" s="14" t="s">
        <v>145</v>
      </c>
      <c r="C151" s="14" t="s">
        <v>145</v>
      </c>
      <c r="D151" s="14" t="s">
        <v>145</v>
      </c>
      <c r="E151" s="14" t="s">
        <v>145</v>
      </c>
      <c r="F151" s="39" t="s">
        <v>145</v>
      </c>
      <c r="G151" s="14" t="s">
        <v>145</v>
      </c>
      <c r="H151" s="14" t="s">
        <v>145</v>
      </c>
      <c r="I151" s="14" t="s">
        <v>145</v>
      </c>
      <c r="J151" s="14" t="s">
        <v>145</v>
      </c>
      <c r="K151" s="14" t="s">
        <v>145</v>
      </c>
      <c r="L151" s="14" t="s">
        <v>145</v>
      </c>
      <c r="M151" s="14" t="s">
        <v>145</v>
      </c>
      <c r="N151" s="41" t="s">
        <v>145</v>
      </c>
    </row>
    <row r="152" spans="1:14" x14ac:dyDescent="0.3">
      <c r="A152" s="39" t="s">
        <v>145</v>
      </c>
      <c r="B152" s="14" t="s">
        <v>145</v>
      </c>
      <c r="C152" s="14" t="s">
        <v>145</v>
      </c>
      <c r="D152" s="14" t="s">
        <v>145</v>
      </c>
      <c r="E152" s="14" t="s">
        <v>145</v>
      </c>
      <c r="F152" s="39" t="s">
        <v>145</v>
      </c>
      <c r="G152" s="14" t="s">
        <v>145</v>
      </c>
      <c r="H152" s="14" t="s">
        <v>145</v>
      </c>
      <c r="I152" s="14" t="s">
        <v>145</v>
      </c>
      <c r="J152" s="14" t="s">
        <v>145</v>
      </c>
      <c r="K152" s="14" t="s">
        <v>145</v>
      </c>
      <c r="L152" s="14" t="s">
        <v>145</v>
      </c>
      <c r="M152" s="14" t="s">
        <v>145</v>
      </c>
      <c r="N152" s="41" t="s">
        <v>145</v>
      </c>
    </row>
    <row r="153" spans="1:14" x14ac:dyDescent="0.3">
      <c r="A153" s="39" t="s">
        <v>145</v>
      </c>
      <c r="B153" s="14" t="s">
        <v>145</v>
      </c>
      <c r="C153" s="14" t="s">
        <v>145</v>
      </c>
      <c r="D153" s="14" t="s">
        <v>145</v>
      </c>
      <c r="E153" s="14" t="s">
        <v>145</v>
      </c>
      <c r="F153" s="39" t="s">
        <v>145</v>
      </c>
      <c r="G153" s="14" t="s">
        <v>145</v>
      </c>
      <c r="H153" s="14" t="s">
        <v>145</v>
      </c>
      <c r="I153" s="14" t="s">
        <v>145</v>
      </c>
      <c r="J153" s="14" t="s">
        <v>145</v>
      </c>
      <c r="K153" s="14" t="s">
        <v>145</v>
      </c>
      <c r="L153" s="14" t="s">
        <v>145</v>
      </c>
      <c r="M153" s="14" t="s">
        <v>145</v>
      </c>
      <c r="N153" s="41" t="s">
        <v>145</v>
      </c>
    </row>
    <row r="154" spans="1:14" x14ac:dyDescent="0.3">
      <c r="A154" s="39" t="s">
        <v>145</v>
      </c>
      <c r="B154" s="14" t="s">
        <v>145</v>
      </c>
      <c r="C154" s="14" t="s">
        <v>145</v>
      </c>
      <c r="D154" s="14" t="s">
        <v>145</v>
      </c>
      <c r="E154" s="14" t="s">
        <v>145</v>
      </c>
      <c r="F154" s="39" t="s">
        <v>145</v>
      </c>
      <c r="G154" s="14" t="s">
        <v>145</v>
      </c>
      <c r="H154" s="14" t="s">
        <v>145</v>
      </c>
      <c r="I154" s="14" t="s">
        <v>145</v>
      </c>
      <c r="J154" s="14" t="s">
        <v>145</v>
      </c>
      <c r="K154" s="14" t="s">
        <v>145</v>
      </c>
      <c r="L154" s="14" t="s">
        <v>145</v>
      </c>
      <c r="M154" s="14" t="s">
        <v>145</v>
      </c>
      <c r="N154" s="41" t="s">
        <v>145</v>
      </c>
    </row>
    <row r="155" spans="1:14" x14ac:dyDescent="0.3">
      <c r="A155" s="39" t="s">
        <v>145</v>
      </c>
      <c r="B155" s="14" t="s">
        <v>145</v>
      </c>
      <c r="C155" s="14" t="s">
        <v>145</v>
      </c>
      <c r="D155" s="14" t="s">
        <v>145</v>
      </c>
      <c r="E155" s="14" t="s">
        <v>145</v>
      </c>
      <c r="F155" s="39" t="s">
        <v>145</v>
      </c>
      <c r="G155" s="14" t="s">
        <v>145</v>
      </c>
      <c r="H155" s="14" t="s">
        <v>145</v>
      </c>
      <c r="I155" s="14" t="s">
        <v>145</v>
      </c>
      <c r="J155" s="14" t="s">
        <v>145</v>
      </c>
      <c r="K155" s="14" t="s">
        <v>145</v>
      </c>
      <c r="L155" s="14" t="s">
        <v>145</v>
      </c>
      <c r="M155" s="14" t="s">
        <v>145</v>
      </c>
      <c r="N155" s="41" t="s">
        <v>145</v>
      </c>
    </row>
    <row r="156" spans="1:14" x14ac:dyDescent="0.3">
      <c r="A156" s="39" t="s">
        <v>145</v>
      </c>
      <c r="B156" s="14" t="s">
        <v>145</v>
      </c>
      <c r="C156" s="14" t="s">
        <v>145</v>
      </c>
      <c r="D156" s="14" t="s">
        <v>145</v>
      </c>
      <c r="E156" s="14" t="s">
        <v>145</v>
      </c>
      <c r="F156" s="39" t="s">
        <v>145</v>
      </c>
      <c r="G156" s="14" t="s">
        <v>145</v>
      </c>
      <c r="H156" s="14" t="s">
        <v>145</v>
      </c>
      <c r="I156" s="14" t="s">
        <v>145</v>
      </c>
      <c r="J156" s="14" t="s">
        <v>145</v>
      </c>
      <c r="K156" s="14" t="s">
        <v>145</v>
      </c>
      <c r="L156" s="14" t="s">
        <v>145</v>
      </c>
      <c r="M156" s="14" t="s">
        <v>145</v>
      </c>
      <c r="N156" s="41" t="s">
        <v>145</v>
      </c>
    </row>
    <row r="157" spans="1:14" x14ac:dyDescent="0.3">
      <c r="A157" s="39" t="s">
        <v>145</v>
      </c>
      <c r="B157" s="14" t="s">
        <v>145</v>
      </c>
      <c r="C157" s="14" t="s">
        <v>145</v>
      </c>
      <c r="D157" s="14" t="s">
        <v>145</v>
      </c>
      <c r="E157" s="14" t="s">
        <v>145</v>
      </c>
      <c r="F157" s="39" t="s">
        <v>145</v>
      </c>
      <c r="G157" s="14" t="s">
        <v>145</v>
      </c>
      <c r="H157" s="14" t="s">
        <v>145</v>
      </c>
      <c r="I157" s="14" t="s">
        <v>145</v>
      </c>
      <c r="J157" s="14" t="s">
        <v>145</v>
      </c>
      <c r="K157" s="14" t="s">
        <v>145</v>
      </c>
      <c r="L157" s="14" t="s">
        <v>145</v>
      </c>
      <c r="M157" s="14" t="s">
        <v>145</v>
      </c>
      <c r="N157" s="41" t="s">
        <v>145</v>
      </c>
    </row>
    <row r="158" spans="1:14" x14ac:dyDescent="0.3">
      <c r="A158" s="39" t="s">
        <v>145</v>
      </c>
      <c r="B158" s="14" t="s">
        <v>145</v>
      </c>
      <c r="C158" s="14" t="s">
        <v>145</v>
      </c>
      <c r="D158" s="14" t="s">
        <v>145</v>
      </c>
      <c r="E158" s="14" t="s">
        <v>145</v>
      </c>
      <c r="F158" s="39" t="s">
        <v>145</v>
      </c>
      <c r="G158" s="14" t="s">
        <v>145</v>
      </c>
      <c r="H158" s="14" t="s">
        <v>145</v>
      </c>
      <c r="I158" s="14" t="s">
        <v>145</v>
      </c>
      <c r="J158" s="14" t="s">
        <v>145</v>
      </c>
      <c r="K158" s="14" t="s">
        <v>145</v>
      </c>
      <c r="L158" s="14" t="s">
        <v>145</v>
      </c>
      <c r="M158" s="14" t="s">
        <v>145</v>
      </c>
      <c r="N158" s="41" t="s">
        <v>145</v>
      </c>
    </row>
    <row r="159" spans="1:14" x14ac:dyDescent="0.3">
      <c r="A159" s="39" t="s">
        <v>145</v>
      </c>
      <c r="B159" s="14" t="s">
        <v>145</v>
      </c>
      <c r="C159" s="14" t="s">
        <v>145</v>
      </c>
      <c r="D159" s="14" t="s">
        <v>145</v>
      </c>
      <c r="E159" s="14" t="s">
        <v>145</v>
      </c>
      <c r="F159" s="39" t="s">
        <v>145</v>
      </c>
      <c r="G159" s="14" t="s">
        <v>145</v>
      </c>
      <c r="H159" s="14" t="s">
        <v>145</v>
      </c>
      <c r="I159" s="14" t="s">
        <v>145</v>
      </c>
      <c r="J159" s="14" t="s">
        <v>145</v>
      </c>
      <c r="K159" s="14" t="s">
        <v>145</v>
      </c>
      <c r="L159" s="14" t="s">
        <v>145</v>
      </c>
      <c r="M159" s="14" t="s">
        <v>145</v>
      </c>
      <c r="N159" s="41" t="s">
        <v>145</v>
      </c>
    </row>
    <row r="160" spans="1:14" x14ac:dyDescent="0.3">
      <c r="A160" s="39" t="s">
        <v>145</v>
      </c>
      <c r="B160" s="14" t="s">
        <v>145</v>
      </c>
      <c r="C160" s="14" t="s">
        <v>145</v>
      </c>
      <c r="D160" s="14" t="s">
        <v>145</v>
      </c>
      <c r="E160" s="14" t="s">
        <v>145</v>
      </c>
      <c r="F160" s="39" t="s">
        <v>145</v>
      </c>
      <c r="G160" s="14" t="s">
        <v>145</v>
      </c>
      <c r="H160" s="14" t="s">
        <v>145</v>
      </c>
      <c r="I160" s="14" t="s">
        <v>145</v>
      </c>
      <c r="J160" s="14" t="s">
        <v>145</v>
      </c>
      <c r="K160" s="14" t="s">
        <v>145</v>
      </c>
      <c r="L160" s="14" t="s">
        <v>145</v>
      </c>
      <c r="M160" s="14" t="s">
        <v>145</v>
      </c>
      <c r="N160" s="41" t="s">
        <v>145</v>
      </c>
    </row>
    <row r="161" spans="1:14" x14ac:dyDescent="0.3">
      <c r="A161" s="39" t="s">
        <v>145</v>
      </c>
      <c r="B161" s="14" t="s">
        <v>145</v>
      </c>
      <c r="C161" s="14" t="s">
        <v>145</v>
      </c>
      <c r="D161" s="14" t="s">
        <v>145</v>
      </c>
      <c r="E161" s="14" t="s">
        <v>145</v>
      </c>
      <c r="F161" s="39" t="s">
        <v>145</v>
      </c>
      <c r="G161" s="14" t="s">
        <v>145</v>
      </c>
      <c r="H161" s="14" t="s">
        <v>145</v>
      </c>
      <c r="I161" s="14" t="s">
        <v>145</v>
      </c>
      <c r="J161" s="14" t="s">
        <v>145</v>
      </c>
      <c r="K161" s="14" t="s">
        <v>145</v>
      </c>
      <c r="L161" s="14" t="s">
        <v>145</v>
      </c>
      <c r="M161" s="14" t="s">
        <v>145</v>
      </c>
      <c r="N161" s="41" t="s">
        <v>145</v>
      </c>
    </row>
    <row r="162" spans="1:14" x14ac:dyDescent="0.3">
      <c r="A162" s="39" t="s">
        <v>145</v>
      </c>
      <c r="B162" s="14" t="s">
        <v>145</v>
      </c>
      <c r="C162" s="14" t="s">
        <v>145</v>
      </c>
      <c r="D162" s="14" t="s">
        <v>145</v>
      </c>
      <c r="E162" s="14" t="s">
        <v>145</v>
      </c>
      <c r="F162" s="39" t="s">
        <v>145</v>
      </c>
      <c r="G162" s="14" t="s">
        <v>145</v>
      </c>
      <c r="H162" s="14" t="s">
        <v>145</v>
      </c>
      <c r="I162" s="14" t="s">
        <v>145</v>
      </c>
      <c r="J162" s="14" t="s">
        <v>145</v>
      </c>
      <c r="K162" s="14" t="s">
        <v>145</v>
      </c>
      <c r="L162" s="14" t="s">
        <v>145</v>
      </c>
      <c r="M162" s="14" t="s">
        <v>145</v>
      </c>
      <c r="N162" s="41" t="s">
        <v>145</v>
      </c>
    </row>
    <row r="163" spans="1:14" x14ac:dyDescent="0.3">
      <c r="A163" s="39" t="s">
        <v>145</v>
      </c>
      <c r="B163" s="14" t="s">
        <v>145</v>
      </c>
      <c r="C163" s="14" t="s">
        <v>145</v>
      </c>
      <c r="D163" s="14" t="s">
        <v>145</v>
      </c>
      <c r="E163" s="14" t="s">
        <v>145</v>
      </c>
      <c r="F163" s="39" t="s">
        <v>145</v>
      </c>
      <c r="G163" s="14" t="s">
        <v>145</v>
      </c>
      <c r="H163" s="14" t="s">
        <v>145</v>
      </c>
      <c r="I163" s="14" t="s">
        <v>145</v>
      </c>
      <c r="J163" s="14" t="s">
        <v>145</v>
      </c>
      <c r="K163" s="14" t="s">
        <v>145</v>
      </c>
      <c r="L163" s="14" t="s">
        <v>145</v>
      </c>
      <c r="M163" s="14" t="s">
        <v>145</v>
      </c>
      <c r="N163" s="41" t="s">
        <v>145</v>
      </c>
    </row>
    <row r="164" spans="1:14" x14ac:dyDescent="0.3">
      <c r="A164" s="39" t="s">
        <v>145</v>
      </c>
      <c r="B164" s="14" t="s">
        <v>145</v>
      </c>
      <c r="C164" s="14" t="s">
        <v>145</v>
      </c>
      <c r="D164" s="14" t="s">
        <v>145</v>
      </c>
      <c r="E164" s="14" t="s">
        <v>145</v>
      </c>
      <c r="F164" s="39" t="s">
        <v>145</v>
      </c>
      <c r="G164" s="14" t="s">
        <v>145</v>
      </c>
      <c r="H164" s="14" t="s">
        <v>145</v>
      </c>
      <c r="I164" s="14" t="s">
        <v>145</v>
      </c>
      <c r="J164" s="14" t="s">
        <v>145</v>
      </c>
      <c r="K164" s="14" t="s">
        <v>145</v>
      </c>
      <c r="L164" s="14" t="s">
        <v>145</v>
      </c>
      <c r="M164" s="14" t="s">
        <v>145</v>
      </c>
      <c r="N164" s="41" t="s">
        <v>145</v>
      </c>
    </row>
    <row r="165" spans="1:14" x14ac:dyDescent="0.3">
      <c r="A165" s="39" t="s">
        <v>145</v>
      </c>
      <c r="B165" s="14" t="s">
        <v>145</v>
      </c>
      <c r="C165" s="14" t="s">
        <v>145</v>
      </c>
      <c r="D165" s="14" t="s">
        <v>145</v>
      </c>
      <c r="E165" s="14" t="s">
        <v>145</v>
      </c>
      <c r="F165" s="39" t="s">
        <v>145</v>
      </c>
      <c r="G165" s="14" t="s">
        <v>145</v>
      </c>
      <c r="H165" s="14" t="s">
        <v>145</v>
      </c>
      <c r="I165" s="14" t="s">
        <v>145</v>
      </c>
      <c r="J165" s="14" t="s">
        <v>145</v>
      </c>
      <c r="K165" s="14" t="s">
        <v>145</v>
      </c>
      <c r="L165" s="14" t="s">
        <v>145</v>
      </c>
      <c r="M165" s="14" t="s">
        <v>145</v>
      </c>
      <c r="N165" s="41" t="s">
        <v>145</v>
      </c>
    </row>
    <row r="166" spans="1:14" x14ac:dyDescent="0.3">
      <c r="A166" s="39" t="s">
        <v>145</v>
      </c>
      <c r="B166" s="14" t="s">
        <v>145</v>
      </c>
      <c r="C166" s="14" t="s">
        <v>145</v>
      </c>
      <c r="D166" s="14" t="s">
        <v>145</v>
      </c>
      <c r="E166" s="14" t="s">
        <v>145</v>
      </c>
      <c r="F166" s="39" t="s">
        <v>145</v>
      </c>
      <c r="G166" s="14" t="s">
        <v>145</v>
      </c>
      <c r="H166" s="14" t="s">
        <v>145</v>
      </c>
      <c r="I166" s="14" t="s">
        <v>145</v>
      </c>
      <c r="J166" s="14" t="s">
        <v>145</v>
      </c>
      <c r="K166" s="14" t="s">
        <v>145</v>
      </c>
      <c r="L166" s="14" t="s">
        <v>145</v>
      </c>
      <c r="M166" s="14" t="s">
        <v>145</v>
      </c>
      <c r="N166" s="41" t="s">
        <v>145</v>
      </c>
    </row>
    <row r="167" spans="1:14" x14ac:dyDescent="0.3">
      <c r="A167" s="39" t="s">
        <v>145</v>
      </c>
      <c r="B167" s="14" t="s">
        <v>145</v>
      </c>
      <c r="C167" s="14" t="s">
        <v>145</v>
      </c>
      <c r="D167" s="14" t="s">
        <v>145</v>
      </c>
      <c r="E167" s="14" t="s">
        <v>145</v>
      </c>
      <c r="F167" s="39" t="s">
        <v>145</v>
      </c>
      <c r="G167" s="14" t="s">
        <v>145</v>
      </c>
      <c r="H167" s="14" t="s">
        <v>145</v>
      </c>
      <c r="I167" s="14" t="s">
        <v>145</v>
      </c>
      <c r="J167" s="14" t="s">
        <v>145</v>
      </c>
      <c r="K167" s="14" t="s">
        <v>145</v>
      </c>
      <c r="L167" s="14" t="s">
        <v>145</v>
      </c>
      <c r="M167" s="14" t="s">
        <v>145</v>
      </c>
      <c r="N167" s="41" t="s">
        <v>145</v>
      </c>
    </row>
    <row r="168" spans="1:14" x14ac:dyDescent="0.3">
      <c r="A168" s="39" t="s">
        <v>145</v>
      </c>
      <c r="B168" s="14" t="s">
        <v>145</v>
      </c>
      <c r="C168" s="14" t="s">
        <v>145</v>
      </c>
      <c r="D168" s="14" t="s">
        <v>145</v>
      </c>
      <c r="E168" s="14" t="s">
        <v>145</v>
      </c>
      <c r="F168" s="39" t="s">
        <v>145</v>
      </c>
      <c r="G168" s="14" t="s">
        <v>145</v>
      </c>
      <c r="H168" s="14" t="s">
        <v>145</v>
      </c>
      <c r="I168" s="14" t="s">
        <v>145</v>
      </c>
      <c r="J168" s="14" t="s">
        <v>145</v>
      </c>
      <c r="K168" s="14" t="s">
        <v>145</v>
      </c>
      <c r="L168" s="14" t="s">
        <v>145</v>
      </c>
      <c r="M168" s="14" t="s">
        <v>145</v>
      </c>
      <c r="N168" s="41" t="s">
        <v>145</v>
      </c>
    </row>
    <row r="169" spans="1:14" x14ac:dyDescent="0.3">
      <c r="A169" s="39" t="s">
        <v>145</v>
      </c>
      <c r="B169" s="14" t="s">
        <v>145</v>
      </c>
      <c r="C169" s="14" t="s">
        <v>145</v>
      </c>
      <c r="D169" s="14" t="s">
        <v>145</v>
      </c>
      <c r="E169" s="14" t="s">
        <v>145</v>
      </c>
      <c r="F169" s="39" t="s">
        <v>145</v>
      </c>
      <c r="G169" s="14" t="s">
        <v>145</v>
      </c>
      <c r="H169" s="14" t="s">
        <v>145</v>
      </c>
      <c r="I169" s="14" t="s">
        <v>145</v>
      </c>
      <c r="J169" s="14" t="s">
        <v>145</v>
      </c>
      <c r="K169" s="14" t="s">
        <v>145</v>
      </c>
      <c r="L169" s="14" t="s">
        <v>145</v>
      </c>
      <c r="M169" s="14" t="s">
        <v>145</v>
      </c>
      <c r="N169" s="41" t="s">
        <v>145</v>
      </c>
    </row>
    <row r="170" spans="1:14" x14ac:dyDescent="0.3">
      <c r="A170" s="39" t="s">
        <v>145</v>
      </c>
      <c r="B170" s="14" t="s">
        <v>145</v>
      </c>
      <c r="C170" s="14" t="s">
        <v>145</v>
      </c>
      <c r="D170" s="14" t="s">
        <v>145</v>
      </c>
      <c r="E170" s="14" t="s">
        <v>145</v>
      </c>
      <c r="F170" s="39" t="s">
        <v>145</v>
      </c>
      <c r="G170" s="14" t="s">
        <v>145</v>
      </c>
      <c r="H170" s="14" t="s">
        <v>145</v>
      </c>
      <c r="I170" s="14" t="s">
        <v>145</v>
      </c>
      <c r="J170" s="14" t="s">
        <v>145</v>
      </c>
      <c r="K170" s="14" t="s">
        <v>145</v>
      </c>
      <c r="L170" s="14" t="s">
        <v>145</v>
      </c>
      <c r="M170" s="14" t="s">
        <v>145</v>
      </c>
      <c r="N170" s="41" t="s">
        <v>145</v>
      </c>
    </row>
    <row r="171" spans="1:14" x14ac:dyDescent="0.3">
      <c r="A171" s="39" t="s">
        <v>145</v>
      </c>
      <c r="B171" s="14" t="s">
        <v>145</v>
      </c>
      <c r="C171" s="14" t="s">
        <v>145</v>
      </c>
      <c r="D171" s="14" t="s">
        <v>145</v>
      </c>
      <c r="E171" s="14" t="s">
        <v>145</v>
      </c>
      <c r="F171" s="39" t="s">
        <v>145</v>
      </c>
      <c r="G171" s="14" t="s">
        <v>145</v>
      </c>
      <c r="H171" s="14" t="s">
        <v>145</v>
      </c>
      <c r="I171" s="14" t="s">
        <v>145</v>
      </c>
      <c r="J171" s="14" t="s">
        <v>145</v>
      </c>
      <c r="K171" s="14" t="s">
        <v>145</v>
      </c>
      <c r="L171" s="14" t="s">
        <v>145</v>
      </c>
      <c r="M171" s="14" t="s">
        <v>145</v>
      </c>
      <c r="N171" s="41" t="s">
        <v>145</v>
      </c>
    </row>
    <row r="172" spans="1:14" x14ac:dyDescent="0.3">
      <c r="A172" s="39" t="s">
        <v>145</v>
      </c>
      <c r="B172" s="14" t="s">
        <v>145</v>
      </c>
      <c r="C172" s="14" t="s">
        <v>145</v>
      </c>
      <c r="D172" s="14" t="s">
        <v>145</v>
      </c>
      <c r="E172" s="14" t="s">
        <v>145</v>
      </c>
      <c r="F172" s="39" t="s">
        <v>145</v>
      </c>
      <c r="G172" s="14" t="s">
        <v>145</v>
      </c>
      <c r="H172" s="14" t="s">
        <v>145</v>
      </c>
      <c r="I172" s="14" t="s">
        <v>145</v>
      </c>
      <c r="J172" s="14" t="s">
        <v>145</v>
      </c>
      <c r="K172" s="14" t="s">
        <v>145</v>
      </c>
      <c r="L172" s="14" t="s">
        <v>145</v>
      </c>
      <c r="M172" s="14" t="s">
        <v>145</v>
      </c>
      <c r="N172" s="41" t="s">
        <v>145</v>
      </c>
    </row>
    <row r="173" spans="1:14" x14ac:dyDescent="0.3">
      <c r="A173" s="39" t="s">
        <v>145</v>
      </c>
      <c r="B173" s="14" t="s">
        <v>145</v>
      </c>
      <c r="C173" s="14" t="s">
        <v>145</v>
      </c>
      <c r="D173" s="14" t="s">
        <v>145</v>
      </c>
      <c r="E173" s="14" t="s">
        <v>145</v>
      </c>
      <c r="F173" s="39" t="s">
        <v>145</v>
      </c>
      <c r="G173" s="14" t="s">
        <v>145</v>
      </c>
      <c r="H173" s="14" t="s">
        <v>145</v>
      </c>
      <c r="I173" s="14" t="s">
        <v>145</v>
      </c>
      <c r="J173" s="14" t="s">
        <v>145</v>
      </c>
      <c r="K173" s="14" t="s">
        <v>145</v>
      </c>
      <c r="L173" s="14" t="s">
        <v>145</v>
      </c>
      <c r="M173" s="14" t="s">
        <v>145</v>
      </c>
      <c r="N173" s="41" t="s">
        <v>145</v>
      </c>
    </row>
    <row r="174" spans="1:14" x14ac:dyDescent="0.3">
      <c r="A174" s="39" t="s">
        <v>145</v>
      </c>
      <c r="B174" s="14" t="s">
        <v>145</v>
      </c>
      <c r="C174" s="14" t="s">
        <v>145</v>
      </c>
      <c r="D174" s="14" t="s">
        <v>145</v>
      </c>
      <c r="E174" s="14" t="s">
        <v>145</v>
      </c>
      <c r="F174" s="39" t="s">
        <v>145</v>
      </c>
      <c r="G174" s="14" t="s">
        <v>145</v>
      </c>
      <c r="H174" s="14" t="s">
        <v>145</v>
      </c>
      <c r="I174" s="14" t="s">
        <v>145</v>
      </c>
      <c r="J174" s="14" t="s">
        <v>145</v>
      </c>
      <c r="K174" s="14" t="s">
        <v>145</v>
      </c>
      <c r="L174" s="14" t="s">
        <v>145</v>
      </c>
      <c r="M174" s="14" t="s">
        <v>145</v>
      </c>
      <c r="N174" s="41" t="s">
        <v>145</v>
      </c>
    </row>
    <row r="175" spans="1:14" x14ac:dyDescent="0.3">
      <c r="A175" s="39" t="s">
        <v>145</v>
      </c>
      <c r="B175" s="14" t="s">
        <v>145</v>
      </c>
      <c r="C175" s="14" t="s">
        <v>145</v>
      </c>
      <c r="D175" s="14" t="s">
        <v>145</v>
      </c>
      <c r="E175" s="14" t="s">
        <v>145</v>
      </c>
      <c r="F175" s="39" t="s">
        <v>145</v>
      </c>
      <c r="G175" s="14" t="s">
        <v>145</v>
      </c>
      <c r="H175" s="14" t="s">
        <v>145</v>
      </c>
      <c r="I175" s="14" t="s">
        <v>145</v>
      </c>
      <c r="J175" s="14" t="s">
        <v>145</v>
      </c>
      <c r="K175" s="14" t="s">
        <v>145</v>
      </c>
      <c r="L175" s="14" t="s">
        <v>145</v>
      </c>
      <c r="M175" s="14" t="s">
        <v>145</v>
      </c>
      <c r="N175" s="41" t="s">
        <v>145</v>
      </c>
    </row>
    <row r="176" spans="1:14" x14ac:dyDescent="0.3">
      <c r="A176" s="39" t="s">
        <v>145</v>
      </c>
      <c r="B176" s="14" t="s">
        <v>145</v>
      </c>
      <c r="C176" s="14" t="s">
        <v>145</v>
      </c>
      <c r="D176" s="14" t="s">
        <v>145</v>
      </c>
      <c r="E176" s="14" t="s">
        <v>145</v>
      </c>
      <c r="F176" s="39" t="s">
        <v>145</v>
      </c>
      <c r="G176" s="14" t="s">
        <v>145</v>
      </c>
      <c r="H176" s="14" t="s">
        <v>145</v>
      </c>
      <c r="I176" s="14" t="s">
        <v>145</v>
      </c>
      <c r="J176" s="14" t="s">
        <v>145</v>
      </c>
      <c r="K176" s="14" t="s">
        <v>145</v>
      </c>
      <c r="L176" s="14" t="s">
        <v>145</v>
      </c>
      <c r="M176" s="14" t="s">
        <v>145</v>
      </c>
      <c r="N176" s="41" t="s">
        <v>145</v>
      </c>
    </row>
    <row r="177" spans="1:14" x14ac:dyDescent="0.3">
      <c r="A177" s="39" t="s">
        <v>145</v>
      </c>
      <c r="B177" s="14" t="s">
        <v>145</v>
      </c>
      <c r="C177" s="14" t="s">
        <v>145</v>
      </c>
      <c r="D177" s="14" t="s">
        <v>145</v>
      </c>
      <c r="E177" s="14" t="s">
        <v>145</v>
      </c>
      <c r="F177" s="39" t="s">
        <v>145</v>
      </c>
      <c r="G177" s="14" t="s">
        <v>145</v>
      </c>
      <c r="H177" s="14" t="s">
        <v>145</v>
      </c>
      <c r="I177" s="14" t="s">
        <v>145</v>
      </c>
      <c r="J177" s="14" t="s">
        <v>145</v>
      </c>
      <c r="K177" s="14" t="s">
        <v>145</v>
      </c>
      <c r="L177" s="14" t="s">
        <v>145</v>
      </c>
      <c r="M177" s="14" t="s">
        <v>145</v>
      </c>
      <c r="N177" s="41" t="s">
        <v>145</v>
      </c>
    </row>
    <row r="178" spans="1:14" x14ac:dyDescent="0.3">
      <c r="A178" s="39" t="s">
        <v>145</v>
      </c>
      <c r="B178" s="14" t="s">
        <v>145</v>
      </c>
      <c r="C178" s="14" t="s">
        <v>145</v>
      </c>
      <c r="D178" s="14" t="s">
        <v>145</v>
      </c>
      <c r="E178" s="14" t="s">
        <v>145</v>
      </c>
      <c r="F178" s="39" t="s">
        <v>145</v>
      </c>
      <c r="G178" s="14" t="s">
        <v>145</v>
      </c>
      <c r="H178" s="14" t="s">
        <v>145</v>
      </c>
      <c r="I178" s="14" t="s">
        <v>145</v>
      </c>
      <c r="J178" s="14" t="s">
        <v>145</v>
      </c>
      <c r="K178" s="14" t="s">
        <v>145</v>
      </c>
      <c r="L178" s="14" t="s">
        <v>145</v>
      </c>
      <c r="M178" s="14" t="s">
        <v>145</v>
      </c>
      <c r="N178" s="41" t="s">
        <v>145</v>
      </c>
    </row>
    <row r="179" spans="1:14" x14ac:dyDescent="0.3">
      <c r="A179" s="39" t="s">
        <v>145</v>
      </c>
      <c r="B179" s="14" t="s">
        <v>145</v>
      </c>
      <c r="C179" s="14" t="s">
        <v>145</v>
      </c>
      <c r="D179" s="14" t="s">
        <v>145</v>
      </c>
      <c r="E179" s="14" t="s">
        <v>145</v>
      </c>
      <c r="F179" s="39" t="s">
        <v>145</v>
      </c>
      <c r="G179" s="14" t="s">
        <v>145</v>
      </c>
      <c r="H179" s="14" t="s">
        <v>145</v>
      </c>
      <c r="I179" s="14" t="s">
        <v>145</v>
      </c>
      <c r="J179" s="14" t="s">
        <v>145</v>
      </c>
      <c r="K179" s="14" t="s">
        <v>145</v>
      </c>
      <c r="L179" s="14" t="s">
        <v>145</v>
      </c>
      <c r="M179" s="14" t="s">
        <v>145</v>
      </c>
      <c r="N179" s="41" t="s">
        <v>145</v>
      </c>
    </row>
    <row r="180" spans="1:14" x14ac:dyDescent="0.3">
      <c r="A180" s="39" t="s">
        <v>145</v>
      </c>
      <c r="B180" s="14" t="s">
        <v>145</v>
      </c>
      <c r="C180" s="14" t="s">
        <v>145</v>
      </c>
      <c r="D180" s="14" t="s">
        <v>145</v>
      </c>
      <c r="E180" s="14" t="s">
        <v>145</v>
      </c>
      <c r="F180" s="39" t="s">
        <v>145</v>
      </c>
      <c r="G180" s="14" t="s">
        <v>145</v>
      </c>
      <c r="H180" s="14" t="s">
        <v>145</v>
      </c>
      <c r="I180" s="14" t="s">
        <v>145</v>
      </c>
      <c r="J180" s="14" t="s">
        <v>145</v>
      </c>
      <c r="K180" s="14" t="s">
        <v>145</v>
      </c>
      <c r="L180" s="14" t="s">
        <v>145</v>
      </c>
      <c r="M180" s="14" t="s">
        <v>145</v>
      </c>
      <c r="N180" s="41" t="s">
        <v>145</v>
      </c>
    </row>
    <row r="181" spans="1:14" x14ac:dyDescent="0.3">
      <c r="A181" s="39" t="s">
        <v>145</v>
      </c>
      <c r="B181" s="14" t="s">
        <v>145</v>
      </c>
      <c r="C181" s="14" t="s">
        <v>145</v>
      </c>
      <c r="D181" s="14" t="s">
        <v>145</v>
      </c>
      <c r="E181" s="14" t="s">
        <v>145</v>
      </c>
      <c r="F181" s="39" t="s">
        <v>145</v>
      </c>
      <c r="G181" s="14" t="s">
        <v>145</v>
      </c>
      <c r="H181" s="14" t="s">
        <v>145</v>
      </c>
      <c r="I181" s="14" t="s">
        <v>145</v>
      </c>
      <c r="J181" s="14" t="s">
        <v>145</v>
      </c>
      <c r="K181" s="14" t="s">
        <v>145</v>
      </c>
      <c r="L181" s="14" t="s">
        <v>145</v>
      </c>
      <c r="M181" s="14" t="s">
        <v>145</v>
      </c>
      <c r="N181" s="41" t="s">
        <v>145</v>
      </c>
    </row>
    <row r="182" spans="1:14" x14ac:dyDescent="0.3">
      <c r="A182" s="39" t="s">
        <v>145</v>
      </c>
      <c r="B182" s="14" t="s">
        <v>145</v>
      </c>
      <c r="C182" s="14" t="s">
        <v>145</v>
      </c>
      <c r="D182" s="14" t="s">
        <v>145</v>
      </c>
      <c r="E182" s="14" t="s">
        <v>145</v>
      </c>
      <c r="F182" s="39" t="s">
        <v>145</v>
      </c>
      <c r="G182" s="14" t="s">
        <v>145</v>
      </c>
      <c r="H182" s="14" t="s">
        <v>145</v>
      </c>
      <c r="I182" s="14" t="s">
        <v>145</v>
      </c>
      <c r="J182" s="14" t="s">
        <v>145</v>
      </c>
      <c r="K182" s="14" t="s">
        <v>145</v>
      </c>
      <c r="L182" s="14" t="s">
        <v>145</v>
      </c>
      <c r="M182" s="14" t="s">
        <v>145</v>
      </c>
      <c r="N182" s="41" t="s">
        <v>145</v>
      </c>
    </row>
    <row r="183" spans="1:14" x14ac:dyDescent="0.3">
      <c r="A183" s="39" t="s">
        <v>145</v>
      </c>
      <c r="B183" s="14" t="s">
        <v>145</v>
      </c>
      <c r="C183" s="14" t="s">
        <v>145</v>
      </c>
      <c r="D183" s="14" t="s">
        <v>145</v>
      </c>
      <c r="E183" s="14" t="s">
        <v>145</v>
      </c>
      <c r="F183" s="39" t="s">
        <v>145</v>
      </c>
      <c r="G183" s="14" t="s">
        <v>145</v>
      </c>
      <c r="H183" s="14" t="s">
        <v>145</v>
      </c>
      <c r="I183" s="14" t="s">
        <v>145</v>
      </c>
      <c r="J183" s="14" t="s">
        <v>145</v>
      </c>
      <c r="K183" s="14" t="s">
        <v>145</v>
      </c>
      <c r="L183" s="14" t="s">
        <v>145</v>
      </c>
      <c r="M183" s="14" t="s">
        <v>145</v>
      </c>
      <c r="N183" s="41" t="s">
        <v>145</v>
      </c>
    </row>
    <row r="184" spans="1:14" x14ac:dyDescent="0.3">
      <c r="A184" s="39" t="s">
        <v>145</v>
      </c>
      <c r="B184" s="14" t="s">
        <v>145</v>
      </c>
      <c r="C184" s="14" t="s">
        <v>145</v>
      </c>
      <c r="D184" s="14" t="s">
        <v>145</v>
      </c>
      <c r="E184" s="14" t="s">
        <v>145</v>
      </c>
      <c r="F184" s="39" t="s">
        <v>145</v>
      </c>
      <c r="G184" s="14" t="s">
        <v>145</v>
      </c>
      <c r="H184" s="14" t="s">
        <v>145</v>
      </c>
      <c r="I184" s="14" t="s">
        <v>145</v>
      </c>
      <c r="J184" s="14" t="s">
        <v>145</v>
      </c>
      <c r="K184" s="14" t="s">
        <v>145</v>
      </c>
      <c r="L184" s="14" t="s">
        <v>145</v>
      </c>
      <c r="M184" s="14" t="s">
        <v>145</v>
      </c>
      <c r="N184" s="41" t="s">
        <v>145</v>
      </c>
    </row>
    <row r="185" spans="1:14" x14ac:dyDescent="0.3">
      <c r="A185" s="39" t="s">
        <v>145</v>
      </c>
      <c r="B185" s="14" t="s">
        <v>145</v>
      </c>
      <c r="C185" s="14" t="s">
        <v>145</v>
      </c>
      <c r="D185" s="14" t="s">
        <v>145</v>
      </c>
      <c r="E185" s="14" t="s">
        <v>145</v>
      </c>
      <c r="F185" s="39" t="s">
        <v>145</v>
      </c>
      <c r="G185" s="14" t="s">
        <v>145</v>
      </c>
      <c r="H185" s="14" t="s">
        <v>145</v>
      </c>
      <c r="I185" s="14" t="s">
        <v>145</v>
      </c>
      <c r="J185" s="14" t="s">
        <v>145</v>
      </c>
      <c r="K185" s="14" t="s">
        <v>145</v>
      </c>
      <c r="L185" s="14" t="s">
        <v>145</v>
      </c>
      <c r="M185" s="14" t="s">
        <v>145</v>
      </c>
      <c r="N185" s="41" t="s">
        <v>145</v>
      </c>
    </row>
    <row r="186" spans="1:14" x14ac:dyDescent="0.3">
      <c r="A186" s="39" t="s">
        <v>145</v>
      </c>
      <c r="B186" s="14" t="s">
        <v>145</v>
      </c>
      <c r="C186" s="14" t="s">
        <v>145</v>
      </c>
      <c r="D186" s="14" t="s">
        <v>145</v>
      </c>
      <c r="E186" s="14" t="s">
        <v>145</v>
      </c>
      <c r="F186" s="39" t="s">
        <v>145</v>
      </c>
      <c r="G186" s="14" t="s">
        <v>145</v>
      </c>
      <c r="H186" s="14" t="s">
        <v>145</v>
      </c>
      <c r="I186" s="14" t="s">
        <v>145</v>
      </c>
      <c r="J186" s="14" t="s">
        <v>145</v>
      </c>
      <c r="K186" s="14" t="s">
        <v>145</v>
      </c>
      <c r="L186" s="14" t="s">
        <v>145</v>
      </c>
      <c r="M186" s="14" t="s">
        <v>145</v>
      </c>
      <c r="N186" s="41" t="s">
        <v>145</v>
      </c>
    </row>
    <row r="187" spans="1:14" x14ac:dyDescent="0.3">
      <c r="A187" s="39" t="s">
        <v>145</v>
      </c>
      <c r="B187" s="14" t="s">
        <v>145</v>
      </c>
      <c r="C187" s="14" t="s">
        <v>145</v>
      </c>
      <c r="D187" s="14" t="s">
        <v>145</v>
      </c>
      <c r="E187" s="14" t="s">
        <v>145</v>
      </c>
      <c r="F187" s="39" t="s">
        <v>145</v>
      </c>
      <c r="G187" s="14" t="s">
        <v>145</v>
      </c>
      <c r="H187" s="14" t="s">
        <v>145</v>
      </c>
      <c r="I187" s="14" t="s">
        <v>145</v>
      </c>
      <c r="J187" s="14" t="s">
        <v>145</v>
      </c>
      <c r="K187" s="14" t="s">
        <v>145</v>
      </c>
      <c r="L187" s="14" t="s">
        <v>145</v>
      </c>
      <c r="M187" s="14" t="s">
        <v>145</v>
      </c>
      <c r="N187" s="41" t="s">
        <v>145</v>
      </c>
    </row>
    <row r="188" spans="1:14" x14ac:dyDescent="0.3">
      <c r="A188" s="39" t="s">
        <v>145</v>
      </c>
      <c r="B188" s="14" t="s">
        <v>145</v>
      </c>
      <c r="C188" s="14" t="s">
        <v>145</v>
      </c>
      <c r="D188" s="14" t="s">
        <v>145</v>
      </c>
      <c r="E188" s="14" t="s">
        <v>145</v>
      </c>
      <c r="F188" s="39" t="s">
        <v>145</v>
      </c>
      <c r="G188" s="14" t="s">
        <v>145</v>
      </c>
      <c r="H188" s="14" t="s">
        <v>145</v>
      </c>
      <c r="I188" s="14" t="s">
        <v>145</v>
      </c>
      <c r="J188" s="14" t="s">
        <v>145</v>
      </c>
      <c r="K188" s="14" t="s">
        <v>145</v>
      </c>
      <c r="L188" s="14" t="s">
        <v>145</v>
      </c>
      <c r="M188" s="14" t="s">
        <v>145</v>
      </c>
      <c r="N188" s="41" t="s">
        <v>145</v>
      </c>
    </row>
    <row r="189" spans="1:14" x14ac:dyDescent="0.3">
      <c r="A189" s="39" t="s">
        <v>145</v>
      </c>
      <c r="B189" s="14" t="s">
        <v>145</v>
      </c>
      <c r="C189" s="14" t="s">
        <v>145</v>
      </c>
      <c r="D189" s="14" t="s">
        <v>145</v>
      </c>
      <c r="E189" s="14" t="s">
        <v>145</v>
      </c>
      <c r="F189" s="39" t="s">
        <v>145</v>
      </c>
      <c r="G189" s="14" t="s">
        <v>145</v>
      </c>
      <c r="H189" s="14" t="s">
        <v>145</v>
      </c>
      <c r="I189" s="14" t="s">
        <v>145</v>
      </c>
      <c r="J189" s="14" t="s">
        <v>145</v>
      </c>
      <c r="K189" s="14" t="s">
        <v>145</v>
      </c>
      <c r="L189" s="14" t="s">
        <v>145</v>
      </c>
      <c r="M189" s="14" t="s">
        <v>145</v>
      </c>
      <c r="N189" s="41" t="s">
        <v>145</v>
      </c>
    </row>
    <row r="190" spans="1:14" x14ac:dyDescent="0.3">
      <c r="A190" s="39" t="s">
        <v>145</v>
      </c>
      <c r="B190" s="14" t="s">
        <v>145</v>
      </c>
      <c r="C190" s="14" t="s">
        <v>145</v>
      </c>
      <c r="D190" s="14" t="s">
        <v>145</v>
      </c>
      <c r="E190" s="14" t="s">
        <v>145</v>
      </c>
      <c r="F190" s="39" t="s">
        <v>145</v>
      </c>
      <c r="G190" s="14" t="s">
        <v>145</v>
      </c>
      <c r="H190" s="14" t="s">
        <v>145</v>
      </c>
      <c r="I190" s="14" t="s">
        <v>145</v>
      </c>
      <c r="J190" s="14" t="s">
        <v>145</v>
      </c>
      <c r="K190" s="14" t="s">
        <v>145</v>
      </c>
      <c r="L190" s="14" t="s">
        <v>145</v>
      </c>
      <c r="M190" s="14" t="s">
        <v>145</v>
      </c>
      <c r="N190" s="41" t="s">
        <v>145</v>
      </c>
    </row>
    <row r="191" spans="1:14" x14ac:dyDescent="0.3">
      <c r="A191" s="39" t="s">
        <v>145</v>
      </c>
      <c r="B191" s="14" t="s">
        <v>145</v>
      </c>
      <c r="C191" s="14" t="s">
        <v>145</v>
      </c>
      <c r="D191" s="14" t="s">
        <v>145</v>
      </c>
      <c r="E191" s="14" t="s">
        <v>145</v>
      </c>
      <c r="F191" s="39" t="s">
        <v>145</v>
      </c>
      <c r="G191" s="14" t="s">
        <v>145</v>
      </c>
      <c r="H191" s="14" t="s">
        <v>145</v>
      </c>
      <c r="I191" s="14" t="s">
        <v>145</v>
      </c>
      <c r="J191" s="14" t="s">
        <v>145</v>
      </c>
      <c r="K191" s="14" t="s">
        <v>145</v>
      </c>
      <c r="L191" s="14" t="s">
        <v>145</v>
      </c>
      <c r="M191" s="14" t="s">
        <v>145</v>
      </c>
      <c r="N191" s="41" t="s">
        <v>145</v>
      </c>
    </row>
    <row r="192" spans="1:14" x14ac:dyDescent="0.3">
      <c r="A192" s="39" t="s">
        <v>145</v>
      </c>
      <c r="B192" s="14" t="s">
        <v>145</v>
      </c>
      <c r="C192" s="14" t="s">
        <v>145</v>
      </c>
      <c r="D192" s="14" t="s">
        <v>145</v>
      </c>
      <c r="E192" s="14" t="s">
        <v>145</v>
      </c>
      <c r="F192" s="39" t="s">
        <v>145</v>
      </c>
      <c r="G192" s="14" t="s">
        <v>145</v>
      </c>
      <c r="H192" s="14" t="s">
        <v>145</v>
      </c>
      <c r="I192" s="14" t="s">
        <v>145</v>
      </c>
      <c r="J192" s="14" t="s">
        <v>145</v>
      </c>
      <c r="K192" s="14" t="s">
        <v>145</v>
      </c>
      <c r="L192" s="14" t="s">
        <v>145</v>
      </c>
      <c r="M192" s="14" t="s">
        <v>145</v>
      </c>
      <c r="N192" s="41" t="s">
        <v>145</v>
      </c>
    </row>
    <row r="193" spans="1:14" x14ac:dyDescent="0.3">
      <c r="A193" s="39" t="s">
        <v>145</v>
      </c>
      <c r="B193" s="14" t="s">
        <v>145</v>
      </c>
      <c r="C193" s="14" t="s">
        <v>145</v>
      </c>
      <c r="D193" s="14" t="s">
        <v>145</v>
      </c>
      <c r="E193" s="14" t="s">
        <v>145</v>
      </c>
      <c r="F193" s="39" t="s">
        <v>145</v>
      </c>
      <c r="G193" s="14" t="s">
        <v>145</v>
      </c>
      <c r="H193" s="14" t="s">
        <v>145</v>
      </c>
      <c r="I193" s="14" t="s">
        <v>145</v>
      </c>
      <c r="J193" s="14" t="s">
        <v>145</v>
      </c>
      <c r="K193" s="14" t="s">
        <v>145</v>
      </c>
      <c r="L193" s="14" t="s">
        <v>145</v>
      </c>
      <c r="M193" s="14" t="s">
        <v>145</v>
      </c>
      <c r="N193" s="41" t="s">
        <v>145</v>
      </c>
    </row>
    <row r="194" spans="1:14" x14ac:dyDescent="0.3">
      <c r="A194" s="39" t="s">
        <v>145</v>
      </c>
      <c r="B194" s="14" t="s">
        <v>145</v>
      </c>
      <c r="C194" s="14" t="s">
        <v>145</v>
      </c>
      <c r="D194" s="14" t="s">
        <v>145</v>
      </c>
      <c r="E194" s="14" t="s">
        <v>145</v>
      </c>
      <c r="F194" s="39" t="s">
        <v>145</v>
      </c>
      <c r="G194" s="14" t="s">
        <v>145</v>
      </c>
      <c r="H194" s="14" t="s">
        <v>145</v>
      </c>
      <c r="I194" s="14" t="s">
        <v>145</v>
      </c>
      <c r="J194" s="14" t="s">
        <v>145</v>
      </c>
      <c r="K194" s="14" t="s">
        <v>145</v>
      </c>
      <c r="L194" s="14" t="s">
        <v>145</v>
      </c>
      <c r="M194" s="14" t="s">
        <v>145</v>
      </c>
      <c r="N194" s="41" t="s">
        <v>145</v>
      </c>
    </row>
    <row r="195" spans="1:14" x14ac:dyDescent="0.3">
      <c r="A195" s="39" t="s">
        <v>145</v>
      </c>
      <c r="B195" s="14" t="s">
        <v>145</v>
      </c>
      <c r="C195" s="14" t="s">
        <v>145</v>
      </c>
      <c r="D195" s="14" t="s">
        <v>145</v>
      </c>
      <c r="E195" s="14" t="s">
        <v>145</v>
      </c>
      <c r="F195" s="39" t="s">
        <v>145</v>
      </c>
      <c r="G195" s="14" t="s">
        <v>145</v>
      </c>
      <c r="H195" s="14" t="s">
        <v>145</v>
      </c>
      <c r="I195" s="14" t="s">
        <v>145</v>
      </c>
      <c r="J195" s="14" t="s">
        <v>145</v>
      </c>
      <c r="K195" s="14" t="s">
        <v>145</v>
      </c>
      <c r="L195" s="14" t="s">
        <v>145</v>
      </c>
      <c r="M195" s="14" t="s">
        <v>145</v>
      </c>
      <c r="N195" s="41" t="s">
        <v>145</v>
      </c>
    </row>
    <row r="196" spans="1:14" x14ac:dyDescent="0.3">
      <c r="A196" s="39" t="s">
        <v>145</v>
      </c>
      <c r="B196" s="14" t="s">
        <v>145</v>
      </c>
      <c r="C196" s="14" t="s">
        <v>145</v>
      </c>
      <c r="D196" s="14" t="s">
        <v>145</v>
      </c>
      <c r="E196" s="14" t="s">
        <v>145</v>
      </c>
      <c r="F196" s="39" t="s">
        <v>145</v>
      </c>
      <c r="G196" s="14" t="s">
        <v>145</v>
      </c>
      <c r="H196" s="14" t="s">
        <v>145</v>
      </c>
      <c r="I196" s="14" t="s">
        <v>145</v>
      </c>
      <c r="J196" s="14" t="s">
        <v>145</v>
      </c>
      <c r="K196" s="14" t="s">
        <v>145</v>
      </c>
      <c r="L196" s="14" t="s">
        <v>145</v>
      </c>
      <c r="M196" s="14" t="s">
        <v>145</v>
      </c>
      <c r="N196" s="41" t="s">
        <v>145</v>
      </c>
    </row>
    <row r="197" spans="1:14" x14ac:dyDescent="0.3">
      <c r="A197" s="39" t="s">
        <v>145</v>
      </c>
      <c r="B197" s="14" t="s">
        <v>145</v>
      </c>
      <c r="C197" s="14" t="s">
        <v>145</v>
      </c>
      <c r="D197" s="14" t="s">
        <v>145</v>
      </c>
      <c r="E197" s="14" t="s">
        <v>145</v>
      </c>
      <c r="F197" s="39" t="s">
        <v>145</v>
      </c>
      <c r="G197" s="14" t="s">
        <v>145</v>
      </c>
      <c r="H197" s="14" t="s">
        <v>145</v>
      </c>
      <c r="I197" s="14" t="s">
        <v>145</v>
      </c>
      <c r="J197" s="14" t="s">
        <v>145</v>
      </c>
      <c r="K197" s="14" t="s">
        <v>145</v>
      </c>
      <c r="L197" s="14" t="s">
        <v>145</v>
      </c>
      <c r="M197" s="14" t="s">
        <v>145</v>
      </c>
      <c r="N197" s="41" t="s">
        <v>145</v>
      </c>
    </row>
    <row r="198" spans="1:14" x14ac:dyDescent="0.3">
      <c r="A198" s="39" t="s">
        <v>145</v>
      </c>
      <c r="B198" s="14" t="s">
        <v>145</v>
      </c>
      <c r="C198" s="14" t="s">
        <v>145</v>
      </c>
      <c r="D198" s="14" t="s">
        <v>145</v>
      </c>
      <c r="E198" s="14" t="s">
        <v>145</v>
      </c>
      <c r="F198" s="39" t="s">
        <v>145</v>
      </c>
      <c r="G198" s="14" t="s">
        <v>145</v>
      </c>
      <c r="H198" s="14" t="s">
        <v>145</v>
      </c>
      <c r="I198" s="14" t="s">
        <v>145</v>
      </c>
      <c r="J198" s="14" t="s">
        <v>145</v>
      </c>
      <c r="K198" s="14" t="s">
        <v>145</v>
      </c>
      <c r="L198" s="14" t="s">
        <v>145</v>
      </c>
      <c r="M198" s="14" t="s">
        <v>145</v>
      </c>
      <c r="N198" s="41" t="s">
        <v>145</v>
      </c>
    </row>
    <row r="199" spans="1:14" x14ac:dyDescent="0.3">
      <c r="A199" s="39" t="s">
        <v>145</v>
      </c>
      <c r="B199" s="14" t="s">
        <v>145</v>
      </c>
      <c r="C199" s="14" t="s">
        <v>145</v>
      </c>
      <c r="D199" s="14" t="s">
        <v>145</v>
      </c>
      <c r="E199" s="14" t="s">
        <v>145</v>
      </c>
      <c r="F199" s="39" t="s">
        <v>145</v>
      </c>
      <c r="G199" s="14" t="s">
        <v>145</v>
      </c>
      <c r="H199" s="14" t="s">
        <v>145</v>
      </c>
      <c r="I199" s="14" t="s">
        <v>145</v>
      </c>
      <c r="J199" s="14" t="s">
        <v>145</v>
      </c>
      <c r="K199" s="14" t="s">
        <v>145</v>
      </c>
      <c r="L199" s="14" t="s">
        <v>145</v>
      </c>
      <c r="M199" s="14" t="s">
        <v>145</v>
      </c>
      <c r="N199" s="41" t="s">
        <v>145</v>
      </c>
    </row>
    <row r="200" spans="1:14" x14ac:dyDescent="0.3">
      <c r="A200" s="39" t="s">
        <v>145</v>
      </c>
      <c r="B200" s="14" t="s">
        <v>145</v>
      </c>
      <c r="C200" s="14" t="s">
        <v>145</v>
      </c>
      <c r="D200" s="14" t="s">
        <v>145</v>
      </c>
      <c r="E200" s="14" t="s">
        <v>145</v>
      </c>
      <c r="F200" s="39" t="s">
        <v>145</v>
      </c>
      <c r="G200" s="14" t="s">
        <v>145</v>
      </c>
      <c r="H200" s="14" t="s">
        <v>145</v>
      </c>
      <c r="I200" s="14" t="s">
        <v>145</v>
      </c>
      <c r="J200" s="14" t="s">
        <v>145</v>
      </c>
      <c r="K200" s="14" t="s">
        <v>145</v>
      </c>
      <c r="L200" s="14" t="s">
        <v>145</v>
      </c>
      <c r="M200" s="14" t="s">
        <v>145</v>
      </c>
      <c r="N200" s="41" t="s">
        <v>145</v>
      </c>
    </row>
    <row r="201" spans="1:14" x14ac:dyDescent="0.3">
      <c r="A201" s="39" t="s">
        <v>145</v>
      </c>
      <c r="B201" s="14" t="s">
        <v>145</v>
      </c>
      <c r="C201" s="14" t="s">
        <v>145</v>
      </c>
      <c r="D201" s="14" t="s">
        <v>145</v>
      </c>
      <c r="E201" s="14" t="s">
        <v>145</v>
      </c>
      <c r="F201" s="39" t="s">
        <v>145</v>
      </c>
      <c r="G201" s="14" t="s">
        <v>145</v>
      </c>
      <c r="H201" s="14" t="s">
        <v>145</v>
      </c>
      <c r="I201" s="14" t="s">
        <v>145</v>
      </c>
      <c r="J201" s="14" t="s">
        <v>145</v>
      </c>
      <c r="K201" s="14" t="s">
        <v>145</v>
      </c>
      <c r="L201" s="14" t="s">
        <v>145</v>
      </c>
      <c r="M201" s="14" t="s">
        <v>145</v>
      </c>
      <c r="N201" s="41" t="s">
        <v>145</v>
      </c>
    </row>
    <row r="202" spans="1:14" x14ac:dyDescent="0.3">
      <c r="A202" s="39" t="s">
        <v>145</v>
      </c>
      <c r="B202" s="14" t="s">
        <v>145</v>
      </c>
      <c r="C202" s="14" t="s">
        <v>145</v>
      </c>
      <c r="D202" s="14" t="s">
        <v>145</v>
      </c>
      <c r="E202" s="14" t="s">
        <v>145</v>
      </c>
      <c r="F202" s="39" t="s">
        <v>145</v>
      </c>
      <c r="G202" s="14" t="s">
        <v>145</v>
      </c>
      <c r="H202" s="14" t="s">
        <v>145</v>
      </c>
      <c r="I202" s="14" t="s">
        <v>145</v>
      </c>
      <c r="J202" s="14" t="s">
        <v>145</v>
      </c>
      <c r="K202" s="14" t="s">
        <v>145</v>
      </c>
      <c r="L202" s="14" t="s">
        <v>145</v>
      </c>
      <c r="M202" s="14" t="s">
        <v>145</v>
      </c>
      <c r="N202" s="41" t="s">
        <v>145</v>
      </c>
    </row>
    <row r="203" spans="1:14" x14ac:dyDescent="0.3">
      <c r="A203" s="39" t="s">
        <v>145</v>
      </c>
      <c r="B203" s="14" t="s">
        <v>145</v>
      </c>
      <c r="C203" s="14" t="s">
        <v>145</v>
      </c>
      <c r="D203" s="14" t="s">
        <v>145</v>
      </c>
      <c r="E203" s="14" t="s">
        <v>145</v>
      </c>
      <c r="F203" s="39" t="s">
        <v>145</v>
      </c>
      <c r="G203" s="14" t="s">
        <v>145</v>
      </c>
      <c r="H203" s="14" t="s">
        <v>145</v>
      </c>
      <c r="I203" s="14" t="s">
        <v>145</v>
      </c>
      <c r="J203" s="14" t="s">
        <v>145</v>
      </c>
      <c r="K203" s="14" t="s">
        <v>145</v>
      </c>
      <c r="L203" s="14" t="s">
        <v>145</v>
      </c>
      <c r="M203" s="14" t="s">
        <v>145</v>
      </c>
      <c r="N203" s="41" t="s">
        <v>145</v>
      </c>
    </row>
    <row r="204" spans="1:14" x14ac:dyDescent="0.3">
      <c r="A204" s="39" t="s">
        <v>145</v>
      </c>
      <c r="B204" s="14" t="s">
        <v>145</v>
      </c>
      <c r="C204" s="14" t="s">
        <v>145</v>
      </c>
      <c r="D204" s="14" t="s">
        <v>145</v>
      </c>
      <c r="E204" s="14" t="s">
        <v>145</v>
      </c>
      <c r="F204" s="39" t="s">
        <v>145</v>
      </c>
      <c r="G204" s="14" t="s">
        <v>145</v>
      </c>
      <c r="H204" s="14" t="s">
        <v>145</v>
      </c>
      <c r="I204" s="14" t="s">
        <v>145</v>
      </c>
      <c r="J204" s="14" t="s">
        <v>145</v>
      </c>
      <c r="K204" s="14" t="s">
        <v>145</v>
      </c>
      <c r="L204" s="14" t="s">
        <v>145</v>
      </c>
      <c r="M204" s="14" t="s">
        <v>145</v>
      </c>
      <c r="N204" s="41" t="s">
        <v>145</v>
      </c>
    </row>
    <row r="205" spans="1:14" x14ac:dyDescent="0.3">
      <c r="A205" s="39" t="s">
        <v>145</v>
      </c>
      <c r="B205" s="14" t="s">
        <v>145</v>
      </c>
      <c r="C205" s="14" t="s">
        <v>145</v>
      </c>
      <c r="D205" s="14" t="s">
        <v>145</v>
      </c>
      <c r="E205" s="14" t="s">
        <v>145</v>
      </c>
      <c r="F205" s="39" t="s">
        <v>145</v>
      </c>
      <c r="G205" s="14" t="s">
        <v>145</v>
      </c>
      <c r="H205" s="14" t="s">
        <v>145</v>
      </c>
      <c r="I205" s="14" t="s">
        <v>145</v>
      </c>
      <c r="J205" s="14" t="s">
        <v>145</v>
      </c>
      <c r="K205" s="14" t="s">
        <v>145</v>
      </c>
      <c r="L205" s="14" t="s">
        <v>145</v>
      </c>
      <c r="M205" s="14" t="s">
        <v>145</v>
      </c>
      <c r="N205" s="41" t="s">
        <v>145</v>
      </c>
    </row>
    <row r="206" spans="1:14" x14ac:dyDescent="0.3">
      <c r="A206" s="39" t="s">
        <v>145</v>
      </c>
      <c r="B206" s="14" t="s">
        <v>145</v>
      </c>
      <c r="C206" s="14" t="s">
        <v>145</v>
      </c>
      <c r="D206" s="14" t="s">
        <v>145</v>
      </c>
      <c r="E206" s="14" t="s">
        <v>145</v>
      </c>
      <c r="F206" s="39" t="s">
        <v>145</v>
      </c>
      <c r="G206" s="14" t="s">
        <v>145</v>
      </c>
      <c r="H206" s="14" t="s">
        <v>145</v>
      </c>
      <c r="I206" s="14" t="s">
        <v>145</v>
      </c>
      <c r="J206" s="14" t="s">
        <v>145</v>
      </c>
      <c r="K206" s="14" t="s">
        <v>145</v>
      </c>
      <c r="L206" s="14" t="s">
        <v>145</v>
      </c>
      <c r="M206" s="14" t="s">
        <v>145</v>
      </c>
      <c r="N206" s="41" t="s">
        <v>145</v>
      </c>
    </row>
    <row r="207" spans="1:14" x14ac:dyDescent="0.3">
      <c r="A207" s="39" t="s">
        <v>145</v>
      </c>
      <c r="B207" s="14" t="s">
        <v>145</v>
      </c>
      <c r="C207" s="14" t="s">
        <v>145</v>
      </c>
      <c r="D207" s="14" t="s">
        <v>145</v>
      </c>
      <c r="E207" s="14" t="s">
        <v>145</v>
      </c>
      <c r="F207" s="39" t="s">
        <v>145</v>
      </c>
      <c r="G207" s="14" t="s">
        <v>145</v>
      </c>
      <c r="H207" s="14" t="s">
        <v>145</v>
      </c>
      <c r="I207" s="14" t="s">
        <v>145</v>
      </c>
      <c r="J207" s="14" t="s">
        <v>145</v>
      </c>
      <c r="K207" s="14" t="s">
        <v>145</v>
      </c>
      <c r="L207" s="14" t="s">
        <v>145</v>
      </c>
      <c r="M207" s="14" t="s">
        <v>145</v>
      </c>
      <c r="N207" s="41" t="s">
        <v>145</v>
      </c>
    </row>
    <row r="208" spans="1:14" x14ac:dyDescent="0.3">
      <c r="A208" s="39" t="s">
        <v>145</v>
      </c>
      <c r="B208" s="14" t="s">
        <v>145</v>
      </c>
      <c r="C208" s="14" t="s">
        <v>145</v>
      </c>
      <c r="D208" s="14" t="s">
        <v>145</v>
      </c>
      <c r="E208" s="14" t="s">
        <v>145</v>
      </c>
      <c r="F208" s="39" t="s">
        <v>145</v>
      </c>
      <c r="G208" s="14" t="s">
        <v>145</v>
      </c>
      <c r="H208" s="14" t="s">
        <v>145</v>
      </c>
      <c r="I208" s="14" t="s">
        <v>145</v>
      </c>
      <c r="J208" s="14" t="s">
        <v>145</v>
      </c>
      <c r="K208" s="14" t="s">
        <v>145</v>
      </c>
      <c r="L208" s="14" t="s">
        <v>145</v>
      </c>
      <c r="M208" s="14" t="s">
        <v>145</v>
      </c>
      <c r="N208" s="41" t="s">
        <v>145</v>
      </c>
    </row>
    <row r="209" spans="1:14" x14ac:dyDescent="0.3">
      <c r="A209" s="39" t="s">
        <v>145</v>
      </c>
      <c r="B209" s="14" t="s">
        <v>145</v>
      </c>
      <c r="C209" s="14" t="s">
        <v>145</v>
      </c>
      <c r="D209" s="14" t="s">
        <v>145</v>
      </c>
      <c r="E209" s="14" t="s">
        <v>145</v>
      </c>
      <c r="F209" s="39" t="s">
        <v>145</v>
      </c>
      <c r="G209" s="14" t="s">
        <v>145</v>
      </c>
      <c r="H209" s="14" t="s">
        <v>145</v>
      </c>
      <c r="I209" s="14" t="s">
        <v>145</v>
      </c>
      <c r="J209" s="14" t="s">
        <v>145</v>
      </c>
      <c r="K209" s="14" t="s">
        <v>145</v>
      </c>
      <c r="L209" s="14" t="s">
        <v>145</v>
      </c>
      <c r="M209" s="14" t="s">
        <v>145</v>
      </c>
      <c r="N209" s="41" t="s">
        <v>145</v>
      </c>
    </row>
    <row r="210" spans="1:14" x14ac:dyDescent="0.3">
      <c r="A210" s="39" t="s">
        <v>145</v>
      </c>
      <c r="B210" s="14" t="s">
        <v>145</v>
      </c>
      <c r="C210" s="14" t="s">
        <v>145</v>
      </c>
      <c r="D210" s="14" t="s">
        <v>145</v>
      </c>
      <c r="E210" s="14" t="s">
        <v>145</v>
      </c>
      <c r="F210" s="39" t="s">
        <v>145</v>
      </c>
      <c r="G210" s="14" t="s">
        <v>145</v>
      </c>
      <c r="H210" s="14" t="s">
        <v>145</v>
      </c>
      <c r="I210" s="14" t="s">
        <v>145</v>
      </c>
      <c r="J210" s="14" t="s">
        <v>145</v>
      </c>
      <c r="K210" s="14" t="s">
        <v>145</v>
      </c>
      <c r="L210" s="14" t="s">
        <v>145</v>
      </c>
      <c r="M210" s="14" t="s">
        <v>145</v>
      </c>
      <c r="N210" s="41" t="s">
        <v>145</v>
      </c>
    </row>
    <row r="211" spans="1:14" x14ac:dyDescent="0.3">
      <c r="A211" s="39" t="s">
        <v>145</v>
      </c>
      <c r="B211" s="14" t="s">
        <v>145</v>
      </c>
      <c r="C211" s="14" t="s">
        <v>145</v>
      </c>
      <c r="D211" s="14" t="s">
        <v>145</v>
      </c>
      <c r="E211" s="14" t="s">
        <v>145</v>
      </c>
      <c r="F211" s="39" t="s">
        <v>145</v>
      </c>
      <c r="G211" s="14" t="s">
        <v>145</v>
      </c>
      <c r="H211" s="14" t="s">
        <v>145</v>
      </c>
      <c r="I211" s="14" t="s">
        <v>145</v>
      </c>
      <c r="J211" s="14" t="s">
        <v>145</v>
      </c>
      <c r="K211" s="14" t="s">
        <v>145</v>
      </c>
      <c r="L211" s="14" t="s">
        <v>145</v>
      </c>
      <c r="M211" s="14" t="s">
        <v>145</v>
      </c>
      <c r="N211" s="41" t="s">
        <v>145</v>
      </c>
    </row>
    <row r="212" spans="1:14" x14ac:dyDescent="0.3">
      <c r="A212" s="39" t="s">
        <v>145</v>
      </c>
      <c r="B212" s="14" t="s">
        <v>145</v>
      </c>
      <c r="C212" s="14" t="s">
        <v>145</v>
      </c>
      <c r="D212" s="14" t="s">
        <v>145</v>
      </c>
      <c r="E212" s="14" t="s">
        <v>145</v>
      </c>
      <c r="F212" s="39" t="s">
        <v>145</v>
      </c>
      <c r="G212" s="14" t="s">
        <v>145</v>
      </c>
      <c r="H212" s="14" t="s">
        <v>145</v>
      </c>
      <c r="I212" s="14" t="s">
        <v>145</v>
      </c>
      <c r="J212" s="14" t="s">
        <v>145</v>
      </c>
      <c r="K212" s="14" t="s">
        <v>145</v>
      </c>
      <c r="L212" s="14" t="s">
        <v>145</v>
      </c>
      <c r="M212" s="14" t="s">
        <v>145</v>
      </c>
      <c r="N212" s="41" t="s">
        <v>145</v>
      </c>
    </row>
    <row r="213" spans="1:14" x14ac:dyDescent="0.3">
      <c r="A213" s="39" t="s">
        <v>145</v>
      </c>
      <c r="B213" s="14" t="s">
        <v>145</v>
      </c>
      <c r="C213" s="14" t="s">
        <v>145</v>
      </c>
      <c r="D213" s="14" t="s">
        <v>145</v>
      </c>
      <c r="E213" s="14" t="s">
        <v>145</v>
      </c>
      <c r="F213" s="39" t="s">
        <v>145</v>
      </c>
      <c r="G213" s="14" t="s">
        <v>145</v>
      </c>
      <c r="H213" s="14" t="s">
        <v>145</v>
      </c>
      <c r="I213" s="14" t="s">
        <v>145</v>
      </c>
      <c r="J213" s="14" t="s">
        <v>145</v>
      </c>
      <c r="K213" s="14" t="s">
        <v>145</v>
      </c>
      <c r="L213" s="14" t="s">
        <v>145</v>
      </c>
      <c r="M213" s="14" t="s">
        <v>145</v>
      </c>
      <c r="N213" s="41" t="s">
        <v>145</v>
      </c>
    </row>
    <row r="214" spans="1:14" x14ac:dyDescent="0.3">
      <c r="A214" s="39" t="s">
        <v>145</v>
      </c>
      <c r="B214" s="14" t="s">
        <v>145</v>
      </c>
      <c r="C214" s="14" t="s">
        <v>145</v>
      </c>
      <c r="D214" s="14" t="s">
        <v>145</v>
      </c>
      <c r="E214" s="14" t="s">
        <v>145</v>
      </c>
      <c r="F214" s="39" t="s">
        <v>145</v>
      </c>
      <c r="G214" s="14" t="s">
        <v>145</v>
      </c>
      <c r="H214" s="14" t="s">
        <v>145</v>
      </c>
      <c r="I214" s="14" t="s">
        <v>145</v>
      </c>
      <c r="J214" s="14" t="s">
        <v>145</v>
      </c>
      <c r="K214" s="14" t="s">
        <v>145</v>
      </c>
      <c r="L214" s="14" t="s">
        <v>145</v>
      </c>
      <c r="M214" s="14" t="s">
        <v>145</v>
      </c>
      <c r="N214" s="41" t="s">
        <v>145</v>
      </c>
    </row>
    <row r="215" spans="1:14" x14ac:dyDescent="0.3">
      <c r="A215" s="39" t="s">
        <v>145</v>
      </c>
      <c r="B215" s="14" t="s">
        <v>145</v>
      </c>
      <c r="C215" s="14" t="s">
        <v>145</v>
      </c>
      <c r="D215" s="14" t="s">
        <v>145</v>
      </c>
      <c r="E215" s="14" t="s">
        <v>145</v>
      </c>
      <c r="F215" s="39" t="s">
        <v>145</v>
      </c>
      <c r="G215" s="14" t="s">
        <v>145</v>
      </c>
      <c r="H215" s="14" t="s">
        <v>145</v>
      </c>
      <c r="I215" s="14" t="s">
        <v>145</v>
      </c>
      <c r="J215" s="14" t="s">
        <v>145</v>
      </c>
      <c r="K215" s="14" t="s">
        <v>145</v>
      </c>
      <c r="L215" s="14" t="s">
        <v>145</v>
      </c>
      <c r="M215" s="14" t="s">
        <v>145</v>
      </c>
      <c r="N215" s="41" t="s">
        <v>145</v>
      </c>
    </row>
    <row r="216" spans="1:14" x14ac:dyDescent="0.3">
      <c r="A216" s="39" t="s">
        <v>145</v>
      </c>
      <c r="B216" s="14" t="s">
        <v>145</v>
      </c>
      <c r="C216" s="14" t="s">
        <v>145</v>
      </c>
      <c r="D216" s="14" t="s">
        <v>145</v>
      </c>
      <c r="E216" s="14" t="s">
        <v>145</v>
      </c>
      <c r="F216" s="39" t="s">
        <v>145</v>
      </c>
      <c r="G216" s="14" t="s">
        <v>145</v>
      </c>
      <c r="H216" s="14" t="s">
        <v>145</v>
      </c>
      <c r="I216" s="14" t="s">
        <v>145</v>
      </c>
      <c r="J216" s="14" t="s">
        <v>145</v>
      </c>
      <c r="K216" s="14" t="s">
        <v>145</v>
      </c>
      <c r="L216" s="14" t="s">
        <v>145</v>
      </c>
      <c r="M216" s="14" t="s">
        <v>145</v>
      </c>
      <c r="N216" s="41" t="s">
        <v>145</v>
      </c>
    </row>
    <row r="217" spans="1:14" x14ac:dyDescent="0.3">
      <c r="A217" s="39" t="s">
        <v>145</v>
      </c>
      <c r="B217" s="14" t="s">
        <v>145</v>
      </c>
      <c r="C217" s="14" t="s">
        <v>145</v>
      </c>
      <c r="D217" s="14" t="s">
        <v>145</v>
      </c>
      <c r="E217" s="14" t="s">
        <v>145</v>
      </c>
      <c r="F217" s="39" t="s">
        <v>145</v>
      </c>
      <c r="G217" s="14" t="s">
        <v>145</v>
      </c>
      <c r="H217" s="14" t="s">
        <v>145</v>
      </c>
      <c r="I217" s="14" t="s">
        <v>145</v>
      </c>
      <c r="J217" s="14" t="s">
        <v>145</v>
      </c>
      <c r="K217" s="14" t="s">
        <v>145</v>
      </c>
      <c r="L217" s="14" t="s">
        <v>145</v>
      </c>
      <c r="M217" s="14" t="s">
        <v>145</v>
      </c>
      <c r="N217" s="41" t="s">
        <v>145</v>
      </c>
    </row>
    <row r="218" spans="1:14" x14ac:dyDescent="0.3">
      <c r="A218" s="39" t="s">
        <v>145</v>
      </c>
      <c r="B218" s="14" t="s">
        <v>145</v>
      </c>
      <c r="C218" s="14" t="s">
        <v>145</v>
      </c>
      <c r="D218" s="14" t="s">
        <v>145</v>
      </c>
      <c r="E218" s="14" t="s">
        <v>145</v>
      </c>
      <c r="F218" s="39" t="s">
        <v>145</v>
      </c>
      <c r="G218" s="14" t="s">
        <v>145</v>
      </c>
      <c r="H218" s="14" t="s">
        <v>145</v>
      </c>
      <c r="I218" s="14" t="s">
        <v>145</v>
      </c>
      <c r="J218" s="14" t="s">
        <v>145</v>
      </c>
      <c r="K218" s="14" t="s">
        <v>145</v>
      </c>
      <c r="L218" s="14" t="s">
        <v>145</v>
      </c>
      <c r="M218" s="14" t="s">
        <v>145</v>
      </c>
      <c r="N218" s="41" t="s">
        <v>145</v>
      </c>
    </row>
    <row r="219" spans="1:14" x14ac:dyDescent="0.3">
      <c r="A219" s="39" t="s">
        <v>145</v>
      </c>
      <c r="B219" s="14" t="s">
        <v>145</v>
      </c>
      <c r="C219" s="14" t="s">
        <v>145</v>
      </c>
      <c r="D219" s="14" t="s">
        <v>145</v>
      </c>
      <c r="E219" s="14" t="s">
        <v>145</v>
      </c>
      <c r="F219" s="39" t="s">
        <v>145</v>
      </c>
      <c r="G219" s="14" t="s">
        <v>145</v>
      </c>
      <c r="H219" s="14" t="s">
        <v>145</v>
      </c>
      <c r="I219" s="14" t="s">
        <v>145</v>
      </c>
      <c r="J219" s="14" t="s">
        <v>145</v>
      </c>
      <c r="K219" s="14" t="s">
        <v>145</v>
      </c>
      <c r="L219" s="14" t="s">
        <v>145</v>
      </c>
      <c r="M219" s="14" t="s">
        <v>145</v>
      </c>
      <c r="N219" s="41" t="s">
        <v>145</v>
      </c>
    </row>
    <row r="220" spans="1:14" x14ac:dyDescent="0.3">
      <c r="A220" s="39" t="s">
        <v>145</v>
      </c>
      <c r="B220" s="14" t="s">
        <v>145</v>
      </c>
      <c r="C220" s="14" t="s">
        <v>145</v>
      </c>
      <c r="D220" s="14" t="s">
        <v>145</v>
      </c>
      <c r="E220" s="14" t="s">
        <v>145</v>
      </c>
      <c r="F220" s="39" t="s">
        <v>145</v>
      </c>
      <c r="G220" s="14" t="s">
        <v>145</v>
      </c>
      <c r="H220" s="14" t="s">
        <v>145</v>
      </c>
      <c r="I220" s="14" t="s">
        <v>145</v>
      </c>
      <c r="J220" s="14" t="s">
        <v>145</v>
      </c>
      <c r="K220" s="14" t="s">
        <v>145</v>
      </c>
      <c r="L220" s="14" t="s">
        <v>145</v>
      </c>
      <c r="M220" s="14" t="s">
        <v>145</v>
      </c>
      <c r="N220" s="41" t="s">
        <v>145</v>
      </c>
    </row>
    <row r="221" spans="1:14" x14ac:dyDescent="0.3">
      <c r="A221" s="39" t="s">
        <v>145</v>
      </c>
      <c r="B221" s="14" t="s">
        <v>145</v>
      </c>
      <c r="C221" s="14" t="s">
        <v>145</v>
      </c>
      <c r="D221" s="14" t="s">
        <v>145</v>
      </c>
      <c r="E221" s="14" t="s">
        <v>145</v>
      </c>
      <c r="F221" s="39" t="s">
        <v>145</v>
      </c>
      <c r="G221" s="14" t="s">
        <v>145</v>
      </c>
      <c r="H221" s="14" t="s">
        <v>145</v>
      </c>
      <c r="I221" s="14" t="s">
        <v>145</v>
      </c>
      <c r="J221" s="14" t="s">
        <v>145</v>
      </c>
      <c r="K221" s="14" t="s">
        <v>145</v>
      </c>
      <c r="L221" s="14" t="s">
        <v>145</v>
      </c>
      <c r="M221" s="14" t="s">
        <v>145</v>
      </c>
      <c r="N221" s="41" t="s">
        <v>145</v>
      </c>
    </row>
    <row r="222" spans="1:14" x14ac:dyDescent="0.3">
      <c r="A222" s="39" t="s">
        <v>145</v>
      </c>
      <c r="B222" s="14" t="s">
        <v>145</v>
      </c>
      <c r="C222" s="14" t="s">
        <v>145</v>
      </c>
      <c r="D222" s="14" t="s">
        <v>145</v>
      </c>
      <c r="E222" s="14" t="s">
        <v>145</v>
      </c>
      <c r="F222" s="39" t="s">
        <v>145</v>
      </c>
      <c r="G222" s="14" t="s">
        <v>145</v>
      </c>
      <c r="H222" s="14" t="s">
        <v>145</v>
      </c>
      <c r="I222" s="14" t="s">
        <v>145</v>
      </c>
      <c r="J222" s="14" t="s">
        <v>145</v>
      </c>
      <c r="K222" s="14" t="s">
        <v>145</v>
      </c>
      <c r="L222" s="14" t="s">
        <v>145</v>
      </c>
      <c r="M222" s="14" t="s">
        <v>145</v>
      </c>
      <c r="N222" s="41" t="s">
        <v>145</v>
      </c>
    </row>
    <row r="223" spans="1:14" x14ac:dyDescent="0.3">
      <c r="A223" s="39" t="s">
        <v>145</v>
      </c>
      <c r="B223" s="14" t="s">
        <v>145</v>
      </c>
      <c r="C223" s="14" t="s">
        <v>145</v>
      </c>
      <c r="D223" s="14" t="s">
        <v>145</v>
      </c>
      <c r="E223" s="14" t="s">
        <v>145</v>
      </c>
      <c r="F223" s="39" t="s">
        <v>145</v>
      </c>
      <c r="G223" s="14" t="s">
        <v>145</v>
      </c>
      <c r="H223" s="14" t="s">
        <v>145</v>
      </c>
      <c r="I223" s="14" t="s">
        <v>145</v>
      </c>
      <c r="J223" s="14" t="s">
        <v>145</v>
      </c>
      <c r="K223" s="14" t="s">
        <v>145</v>
      </c>
      <c r="L223" s="14" t="s">
        <v>145</v>
      </c>
      <c r="M223" s="14" t="s">
        <v>145</v>
      </c>
      <c r="N223" s="41" t="s">
        <v>145</v>
      </c>
    </row>
    <row r="224" spans="1:14" x14ac:dyDescent="0.3">
      <c r="A224" s="39" t="s">
        <v>145</v>
      </c>
      <c r="B224" s="14" t="s">
        <v>145</v>
      </c>
      <c r="C224" s="14" t="s">
        <v>145</v>
      </c>
      <c r="D224" s="14" t="s">
        <v>145</v>
      </c>
      <c r="E224" s="14" t="s">
        <v>145</v>
      </c>
      <c r="F224" s="39" t="s">
        <v>145</v>
      </c>
      <c r="G224" s="14" t="s">
        <v>145</v>
      </c>
      <c r="H224" s="14" t="s">
        <v>145</v>
      </c>
      <c r="I224" s="14" t="s">
        <v>145</v>
      </c>
      <c r="J224" s="14" t="s">
        <v>145</v>
      </c>
      <c r="K224" s="14" t="s">
        <v>145</v>
      </c>
      <c r="L224" s="14" t="s">
        <v>145</v>
      </c>
      <c r="M224" s="14" t="s">
        <v>145</v>
      </c>
      <c r="N224" s="41" t="s">
        <v>145</v>
      </c>
    </row>
    <row r="225" spans="1:14" x14ac:dyDescent="0.3">
      <c r="A225" s="39" t="s">
        <v>145</v>
      </c>
      <c r="B225" s="14" t="s">
        <v>145</v>
      </c>
      <c r="C225" s="14" t="s">
        <v>145</v>
      </c>
      <c r="D225" s="14" t="s">
        <v>145</v>
      </c>
      <c r="E225" s="14" t="s">
        <v>145</v>
      </c>
      <c r="F225" s="39" t="s">
        <v>145</v>
      </c>
      <c r="G225" s="14" t="s">
        <v>145</v>
      </c>
      <c r="H225" s="14" t="s">
        <v>145</v>
      </c>
      <c r="I225" s="14" t="s">
        <v>145</v>
      </c>
      <c r="J225" s="14" t="s">
        <v>145</v>
      </c>
      <c r="K225" s="14" t="s">
        <v>145</v>
      </c>
      <c r="L225" s="14" t="s">
        <v>145</v>
      </c>
      <c r="M225" s="14" t="s">
        <v>145</v>
      </c>
      <c r="N225" s="41" t="s">
        <v>145</v>
      </c>
    </row>
    <row r="226" spans="1:14" x14ac:dyDescent="0.3">
      <c r="A226" s="39" t="s">
        <v>145</v>
      </c>
      <c r="B226" s="14" t="s">
        <v>145</v>
      </c>
      <c r="C226" s="14" t="s">
        <v>145</v>
      </c>
      <c r="D226" s="14" t="s">
        <v>145</v>
      </c>
      <c r="E226" s="14" t="s">
        <v>145</v>
      </c>
      <c r="F226" s="39" t="s">
        <v>145</v>
      </c>
      <c r="G226" s="14" t="s">
        <v>145</v>
      </c>
      <c r="H226" s="14" t="s">
        <v>145</v>
      </c>
      <c r="I226" s="14" t="s">
        <v>145</v>
      </c>
      <c r="J226" s="14" t="s">
        <v>145</v>
      </c>
      <c r="K226" s="14" t="s">
        <v>145</v>
      </c>
      <c r="L226" s="14" t="s">
        <v>145</v>
      </c>
      <c r="M226" s="14" t="s">
        <v>145</v>
      </c>
      <c r="N226" s="41" t="s">
        <v>145</v>
      </c>
    </row>
    <row r="227" spans="1:14" x14ac:dyDescent="0.3">
      <c r="A227" s="39" t="s">
        <v>145</v>
      </c>
      <c r="B227" s="14" t="s">
        <v>145</v>
      </c>
      <c r="C227" s="14" t="s">
        <v>145</v>
      </c>
      <c r="D227" s="14" t="s">
        <v>145</v>
      </c>
      <c r="E227" s="14" t="s">
        <v>145</v>
      </c>
      <c r="F227" s="39" t="s">
        <v>145</v>
      </c>
      <c r="G227" s="14" t="s">
        <v>145</v>
      </c>
      <c r="H227" s="14" t="s">
        <v>145</v>
      </c>
      <c r="I227" s="14" t="s">
        <v>145</v>
      </c>
      <c r="J227" s="14" t="s">
        <v>145</v>
      </c>
      <c r="K227" s="14" t="s">
        <v>145</v>
      </c>
      <c r="L227" s="14" t="s">
        <v>145</v>
      </c>
      <c r="M227" s="14" t="s">
        <v>145</v>
      </c>
      <c r="N227" s="41" t="s">
        <v>145</v>
      </c>
    </row>
    <row r="228" spans="1:14" x14ac:dyDescent="0.3">
      <c r="A228" s="39" t="s">
        <v>145</v>
      </c>
      <c r="B228" s="14" t="s">
        <v>145</v>
      </c>
      <c r="C228" s="14" t="s">
        <v>145</v>
      </c>
      <c r="D228" s="14" t="s">
        <v>145</v>
      </c>
      <c r="E228" s="14" t="s">
        <v>145</v>
      </c>
      <c r="F228" s="39" t="s">
        <v>145</v>
      </c>
      <c r="G228" s="14" t="s">
        <v>145</v>
      </c>
      <c r="H228" s="14" t="s">
        <v>145</v>
      </c>
      <c r="I228" s="14" t="s">
        <v>145</v>
      </c>
      <c r="J228" s="14" t="s">
        <v>145</v>
      </c>
      <c r="K228" s="14" t="s">
        <v>145</v>
      </c>
      <c r="L228" s="14" t="s">
        <v>145</v>
      </c>
      <c r="M228" s="14" t="s">
        <v>145</v>
      </c>
      <c r="N228" s="41" t="s">
        <v>145</v>
      </c>
    </row>
    <row r="229" spans="1:14" x14ac:dyDescent="0.3">
      <c r="A229" s="39" t="s">
        <v>145</v>
      </c>
      <c r="B229" s="14" t="s">
        <v>145</v>
      </c>
      <c r="C229" s="14" t="s">
        <v>145</v>
      </c>
      <c r="D229" s="14" t="s">
        <v>145</v>
      </c>
      <c r="E229" s="14" t="s">
        <v>145</v>
      </c>
      <c r="F229" s="39" t="s">
        <v>145</v>
      </c>
      <c r="G229" s="14" t="s">
        <v>145</v>
      </c>
      <c r="H229" s="14" t="s">
        <v>145</v>
      </c>
      <c r="I229" s="14" t="s">
        <v>145</v>
      </c>
      <c r="J229" s="14" t="s">
        <v>145</v>
      </c>
      <c r="K229" s="14" t="s">
        <v>145</v>
      </c>
      <c r="L229" s="14" t="s">
        <v>145</v>
      </c>
      <c r="M229" s="14" t="s">
        <v>145</v>
      </c>
      <c r="N229" s="41" t="s">
        <v>145</v>
      </c>
    </row>
    <row r="230" spans="1:14" x14ac:dyDescent="0.3">
      <c r="A230" s="39" t="s">
        <v>145</v>
      </c>
      <c r="B230" s="14" t="s">
        <v>145</v>
      </c>
      <c r="C230" s="14" t="s">
        <v>145</v>
      </c>
      <c r="D230" s="14" t="s">
        <v>145</v>
      </c>
      <c r="E230" s="14" t="s">
        <v>145</v>
      </c>
      <c r="F230" s="39" t="s">
        <v>145</v>
      </c>
      <c r="G230" s="14" t="s">
        <v>145</v>
      </c>
      <c r="H230" s="14" t="s">
        <v>145</v>
      </c>
      <c r="I230" s="14" t="s">
        <v>145</v>
      </c>
      <c r="J230" s="14" t="s">
        <v>145</v>
      </c>
      <c r="K230" s="14" t="s">
        <v>145</v>
      </c>
      <c r="L230" s="14" t="s">
        <v>145</v>
      </c>
      <c r="M230" s="14" t="s">
        <v>145</v>
      </c>
      <c r="N230" s="41" t="s">
        <v>145</v>
      </c>
    </row>
    <row r="231" spans="1:14" x14ac:dyDescent="0.3">
      <c r="A231" s="39" t="s">
        <v>145</v>
      </c>
      <c r="B231" s="14" t="s">
        <v>145</v>
      </c>
      <c r="C231" s="14" t="s">
        <v>145</v>
      </c>
      <c r="D231" s="14" t="s">
        <v>145</v>
      </c>
      <c r="E231" s="14" t="s">
        <v>145</v>
      </c>
      <c r="F231" s="39" t="s">
        <v>145</v>
      </c>
      <c r="G231" s="14" t="s">
        <v>145</v>
      </c>
      <c r="H231" s="14" t="s">
        <v>145</v>
      </c>
      <c r="I231" s="14" t="s">
        <v>145</v>
      </c>
      <c r="J231" s="14" t="s">
        <v>145</v>
      </c>
      <c r="K231" s="14" t="s">
        <v>145</v>
      </c>
      <c r="L231" s="14" t="s">
        <v>145</v>
      </c>
      <c r="M231" s="14" t="s">
        <v>145</v>
      </c>
      <c r="N231" s="41" t="s">
        <v>145</v>
      </c>
    </row>
    <row r="232" spans="1:14" x14ac:dyDescent="0.3">
      <c r="A232" s="39" t="s">
        <v>145</v>
      </c>
      <c r="B232" s="14" t="s">
        <v>145</v>
      </c>
      <c r="C232" s="14" t="s">
        <v>145</v>
      </c>
      <c r="D232" s="14" t="s">
        <v>145</v>
      </c>
      <c r="E232" s="14" t="s">
        <v>145</v>
      </c>
      <c r="F232" s="39" t="s">
        <v>145</v>
      </c>
      <c r="G232" s="14" t="s">
        <v>145</v>
      </c>
      <c r="H232" s="14" t="s">
        <v>145</v>
      </c>
      <c r="I232" s="14" t="s">
        <v>145</v>
      </c>
      <c r="J232" s="14" t="s">
        <v>145</v>
      </c>
      <c r="K232" s="14" t="s">
        <v>145</v>
      </c>
      <c r="L232" s="14" t="s">
        <v>145</v>
      </c>
      <c r="M232" s="14" t="s">
        <v>145</v>
      </c>
      <c r="N232" s="41" t="s">
        <v>145</v>
      </c>
    </row>
    <row r="233" spans="1:14" x14ac:dyDescent="0.3">
      <c r="A233" s="39" t="s">
        <v>145</v>
      </c>
      <c r="B233" s="14" t="s">
        <v>145</v>
      </c>
      <c r="C233" s="14" t="s">
        <v>145</v>
      </c>
      <c r="D233" s="14" t="s">
        <v>145</v>
      </c>
      <c r="E233" s="14" t="s">
        <v>145</v>
      </c>
      <c r="F233" s="39" t="s">
        <v>145</v>
      </c>
      <c r="G233" s="14" t="s">
        <v>145</v>
      </c>
      <c r="H233" s="14" t="s">
        <v>145</v>
      </c>
      <c r="I233" s="14" t="s">
        <v>145</v>
      </c>
      <c r="J233" s="14" t="s">
        <v>145</v>
      </c>
      <c r="K233" s="14" t="s">
        <v>145</v>
      </c>
      <c r="L233" s="14" t="s">
        <v>145</v>
      </c>
      <c r="M233" s="14" t="s">
        <v>145</v>
      </c>
      <c r="N233" s="41" t="s">
        <v>145</v>
      </c>
    </row>
    <row r="234" spans="1:14" x14ac:dyDescent="0.3">
      <c r="A234" s="39" t="s">
        <v>145</v>
      </c>
      <c r="B234" s="14" t="s">
        <v>145</v>
      </c>
      <c r="C234" s="14" t="s">
        <v>145</v>
      </c>
      <c r="D234" s="14" t="s">
        <v>145</v>
      </c>
      <c r="E234" s="14" t="s">
        <v>145</v>
      </c>
      <c r="F234" s="39" t="s">
        <v>145</v>
      </c>
      <c r="G234" s="14" t="s">
        <v>145</v>
      </c>
      <c r="H234" s="14" t="s">
        <v>145</v>
      </c>
      <c r="I234" s="14" t="s">
        <v>145</v>
      </c>
      <c r="J234" s="14" t="s">
        <v>145</v>
      </c>
      <c r="K234" s="14" t="s">
        <v>145</v>
      </c>
      <c r="L234" s="14" t="s">
        <v>145</v>
      </c>
      <c r="M234" s="14" t="s">
        <v>145</v>
      </c>
      <c r="N234" s="41" t="s">
        <v>145</v>
      </c>
    </row>
    <row r="235" spans="1:14" x14ac:dyDescent="0.3">
      <c r="A235" s="39" t="s">
        <v>145</v>
      </c>
      <c r="B235" s="14" t="s">
        <v>145</v>
      </c>
      <c r="C235" s="14" t="s">
        <v>145</v>
      </c>
      <c r="D235" s="14" t="s">
        <v>145</v>
      </c>
      <c r="E235" s="14" t="s">
        <v>145</v>
      </c>
      <c r="F235" s="39" t="s">
        <v>145</v>
      </c>
      <c r="G235" s="14" t="s">
        <v>145</v>
      </c>
      <c r="H235" s="14" t="s">
        <v>145</v>
      </c>
      <c r="I235" s="14" t="s">
        <v>145</v>
      </c>
      <c r="J235" s="14" t="s">
        <v>145</v>
      </c>
      <c r="K235" s="14" t="s">
        <v>145</v>
      </c>
      <c r="L235" s="14" t="s">
        <v>145</v>
      </c>
      <c r="M235" s="14" t="s">
        <v>145</v>
      </c>
      <c r="N235" s="41" t="s">
        <v>145</v>
      </c>
    </row>
    <row r="236" spans="1:14" x14ac:dyDescent="0.3">
      <c r="A236" s="39" t="s">
        <v>145</v>
      </c>
      <c r="B236" s="14" t="s">
        <v>145</v>
      </c>
      <c r="C236" s="14" t="s">
        <v>145</v>
      </c>
      <c r="D236" s="14" t="s">
        <v>145</v>
      </c>
      <c r="E236" s="14" t="s">
        <v>145</v>
      </c>
      <c r="F236" s="39" t="s">
        <v>145</v>
      </c>
      <c r="G236" s="14" t="s">
        <v>145</v>
      </c>
      <c r="H236" s="14" t="s">
        <v>145</v>
      </c>
      <c r="I236" s="14" t="s">
        <v>145</v>
      </c>
      <c r="J236" s="14" t="s">
        <v>145</v>
      </c>
      <c r="K236" s="14" t="s">
        <v>145</v>
      </c>
      <c r="L236" s="14" t="s">
        <v>145</v>
      </c>
      <c r="M236" s="14" t="s">
        <v>145</v>
      </c>
      <c r="N236" s="41" t="s">
        <v>145</v>
      </c>
    </row>
    <row r="237" spans="1:14" x14ac:dyDescent="0.3">
      <c r="A237" s="39" t="s">
        <v>145</v>
      </c>
      <c r="B237" s="14" t="s">
        <v>145</v>
      </c>
      <c r="C237" s="14" t="s">
        <v>145</v>
      </c>
      <c r="D237" s="14" t="s">
        <v>145</v>
      </c>
      <c r="E237" s="14" t="s">
        <v>145</v>
      </c>
      <c r="F237" s="39" t="s">
        <v>145</v>
      </c>
      <c r="G237" s="14" t="s">
        <v>145</v>
      </c>
      <c r="H237" s="14" t="s">
        <v>145</v>
      </c>
      <c r="I237" s="14" t="s">
        <v>145</v>
      </c>
      <c r="J237" s="14" t="s">
        <v>145</v>
      </c>
      <c r="K237" s="14" t="s">
        <v>145</v>
      </c>
      <c r="L237" s="14" t="s">
        <v>145</v>
      </c>
      <c r="M237" s="14" t="s">
        <v>145</v>
      </c>
      <c r="N237" s="41" t="s">
        <v>145</v>
      </c>
    </row>
    <row r="238" spans="1:14" x14ac:dyDescent="0.3">
      <c r="A238" s="39" t="s">
        <v>145</v>
      </c>
      <c r="B238" s="14" t="s">
        <v>145</v>
      </c>
      <c r="C238" s="14" t="s">
        <v>145</v>
      </c>
      <c r="D238" s="14" t="s">
        <v>145</v>
      </c>
      <c r="E238" s="14" t="s">
        <v>145</v>
      </c>
      <c r="F238" s="39" t="s">
        <v>145</v>
      </c>
      <c r="G238" s="14" t="s">
        <v>145</v>
      </c>
      <c r="H238" s="14" t="s">
        <v>145</v>
      </c>
      <c r="I238" s="14" t="s">
        <v>145</v>
      </c>
      <c r="J238" s="14" t="s">
        <v>145</v>
      </c>
      <c r="K238" s="14" t="s">
        <v>145</v>
      </c>
      <c r="L238" s="14" t="s">
        <v>145</v>
      </c>
      <c r="M238" s="14" t="s">
        <v>145</v>
      </c>
      <c r="N238" s="41" t="s">
        <v>145</v>
      </c>
    </row>
    <row r="239" spans="1:14" x14ac:dyDescent="0.3">
      <c r="A239" s="39" t="s">
        <v>145</v>
      </c>
      <c r="B239" s="14" t="s">
        <v>145</v>
      </c>
      <c r="C239" s="14" t="s">
        <v>145</v>
      </c>
      <c r="D239" s="14" t="s">
        <v>145</v>
      </c>
      <c r="E239" s="14" t="s">
        <v>145</v>
      </c>
      <c r="F239" s="39" t="s">
        <v>145</v>
      </c>
      <c r="G239" s="14" t="s">
        <v>145</v>
      </c>
      <c r="H239" s="14" t="s">
        <v>145</v>
      </c>
      <c r="I239" s="14" t="s">
        <v>145</v>
      </c>
      <c r="J239" s="14" t="s">
        <v>145</v>
      </c>
      <c r="K239" s="14" t="s">
        <v>145</v>
      </c>
      <c r="L239" s="14" t="s">
        <v>145</v>
      </c>
      <c r="M239" s="14" t="s">
        <v>145</v>
      </c>
      <c r="N239" s="41" t="s">
        <v>145</v>
      </c>
    </row>
    <row r="240" spans="1:14" x14ac:dyDescent="0.3">
      <c r="A240" s="39" t="s">
        <v>145</v>
      </c>
      <c r="B240" s="14" t="s">
        <v>145</v>
      </c>
      <c r="C240" s="14" t="s">
        <v>145</v>
      </c>
      <c r="D240" s="14" t="s">
        <v>145</v>
      </c>
      <c r="E240" s="14" t="s">
        <v>145</v>
      </c>
      <c r="F240" s="39" t="s">
        <v>145</v>
      </c>
      <c r="G240" s="14" t="s">
        <v>145</v>
      </c>
      <c r="H240" s="14" t="s">
        <v>145</v>
      </c>
      <c r="I240" s="14" t="s">
        <v>145</v>
      </c>
      <c r="J240" s="14" t="s">
        <v>145</v>
      </c>
      <c r="K240" s="14" t="s">
        <v>145</v>
      </c>
      <c r="L240" s="14" t="s">
        <v>145</v>
      </c>
      <c r="M240" s="14" t="s">
        <v>145</v>
      </c>
      <c r="N240" s="41" t="s">
        <v>145</v>
      </c>
    </row>
    <row r="241" spans="1:14" x14ac:dyDescent="0.3">
      <c r="A241" s="39" t="s">
        <v>145</v>
      </c>
      <c r="B241" s="14" t="s">
        <v>145</v>
      </c>
      <c r="C241" s="14" t="s">
        <v>145</v>
      </c>
      <c r="D241" s="14" t="s">
        <v>145</v>
      </c>
      <c r="E241" s="14" t="s">
        <v>145</v>
      </c>
      <c r="F241" s="39" t="s">
        <v>145</v>
      </c>
      <c r="G241" s="14" t="s">
        <v>145</v>
      </c>
      <c r="H241" s="14" t="s">
        <v>145</v>
      </c>
      <c r="I241" s="14" t="s">
        <v>145</v>
      </c>
      <c r="J241" s="14" t="s">
        <v>145</v>
      </c>
      <c r="K241" s="14" t="s">
        <v>145</v>
      </c>
      <c r="L241" s="14" t="s">
        <v>145</v>
      </c>
      <c r="M241" s="14" t="s">
        <v>145</v>
      </c>
      <c r="N241" s="41" t="s">
        <v>145</v>
      </c>
    </row>
    <row r="242" spans="1:14" x14ac:dyDescent="0.3">
      <c r="A242" s="39" t="s">
        <v>145</v>
      </c>
      <c r="B242" s="14" t="s">
        <v>145</v>
      </c>
      <c r="C242" s="14" t="s">
        <v>145</v>
      </c>
      <c r="D242" s="14" t="s">
        <v>145</v>
      </c>
      <c r="E242" s="14" t="s">
        <v>145</v>
      </c>
      <c r="F242" s="39" t="s">
        <v>145</v>
      </c>
      <c r="G242" s="14" t="s">
        <v>145</v>
      </c>
      <c r="H242" s="14" t="s">
        <v>145</v>
      </c>
      <c r="I242" s="14" t="s">
        <v>145</v>
      </c>
      <c r="J242" s="14" t="s">
        <v>145</v>
      </c>
      <c r="K242" s="14" t="s">
        <v>145</v>
      </c>
      <c r="L242" s="14" t="s">
        <v>145</v>
      </c>
      <c r="M242" s="14" t="s">
        <v>145</v>
      </c>
      <c r="N242" s="41" t="s">
        <v>145</v>
      </c>
    </row>
    <row r="243" spans="1:14" x14ac:dyDescent="0.3">
      <c r="A243" s="39" t="s">
        <v>145</v>
      </c>
      <c r="B243" s="14" t="s">
        <v>145</v>
      </c>
      <c r="C243" s="14" t="s">
        <v>145</v>
      </c>
      <c r="D243" s="14" t="s">
        <v>145</v>
      </c>
      <c r="E243" s="14" t="s">
        <v>145</v>
      </c>
      <c r="F243" s="39" t="s">
        <v>145</v>
      </c>
      <c r="G243" s="14" t="s">
        <v>145</v>
      </c>
      <c r="H243" s="14" t="s">
        <v>145</v>
      </c>
      <c r="I243" s="14" t="s">
        <v>145</v>
      </c>
      <c r="J243" s="14" t="s">
        <v>145</v>
      </c>
      <c r="K243" s="14" t="s">
        <v>145</v>
      </c>
      <c r="L243" s="14" t="s">
        <v>145</v>
      </c>
      <c r="M243" s="14" t="s">
        <v>145</v>
      </c>
      <c r="N243" s="41" t="s">
        <v>145</v>
      </c>
    </row>
    <row r="244" spans="1:14" x14ac:dyDescent="0.3">
      <c r="A244" s="39" t="s">
        <v>145</v>
      </c>
      <c r="B244" s="14" t="s">
        <v>145</v>
      </c>
      <c r="C244" s="14" t="s">
        <v>145</v>
      </c>
      <c r="D244" s="14" t="s">
        <v>145</v>
      </c>
      <c r="E244" s="14" t="s">
        <v>145</v>
      </c>
      <c r="F244" s="39" t="s">
        <v>145</v>
      </c>
      <c r="G244" s="14" t="s">
        <v>145</v>
      </c>
      <c r="H244" s="14" t="s">
        <v>145</v>
      </c>
      <c r="I244" s="14" t="s">
        <v>145</v>
      </c>
      <c r="J244" s="14" t="s">
        <v>145</v>
      </c>
      <c r="K244" s="14" t="s">
        <v>145</v>
      </c>
      <c r="L244" s="14" t="s">
        <v>145</v>
      </c>
      <c r="M244" s="14" t="s">
        <v>145</v>
      </c>
      <c r="N244" s="41" t="s">
        <v>145</v>
      </c>
    </row>
    <row r="245" spans="1:14" x14ac:dyDescent="0.3">
      <c r="A245" s="39" t="s">
        <v>145</v>
      </c>
      <c r="B245" s="14" t="s">
        <v>145</v>
      </c>
      <c r="C245" s="14" t="s">
        <v>145</v>
      </c>
      <c r="D245" s="14" t="s">
        <v>145</v>
      </c>
      <c r="E245" s="14" t="s">
        <v>145</v>
      </c>
      <c r="F245" s="39" t="s">
        <v>145</v>
      </c>
      <c r="G245" s="14" t="s">
        <v>145</v>
      </c>
      <c r="H245" s="14" t="s">
        <v>145</v>
      </c>
      <c r="I245" s="14" t="s">
        <v>145</v>
      </c>
      <c r="J245" s="14" t="s">
        <v>145</v>
      </c>
      <c r="K245" s="14" t="s">
        <v>145</v>
      </c>
      <c r="L245" s="14" t="s">
        <v>145</v>
      </c>
      <c r="M245" s="14" t="s">
        <v>145</v>
      </c>
      <c r="N245" s="41" t="s">
        <v>145</v>
      </c>
    </row>
    <row r="246" spans="1:14" x14ac:dyDescent="0.3">
      <c r="A246" s="39" t="s">
        <v>145</v>
      </c>
      <c r="B246" s="14" t="s">
        <v>145</v>
      </c>
      <c r="C246" s="14" t="s">
        <v>145</v>
      </c>
      <c r="D246" s="14" t="s">
        <v>145</v>
      </c>
      <c r="E246" s="14" t="s">
        <v>145</v>
      </c>
      <c r="F246" s="39" t="s">
        <v>145</v>
      </c>
      <c r="G246" s="14" t="s">
        <v>145</v>
      </c>
      <c r="H246" s="14" t="s">
        <v>145</v>
      </c>
      <c r="I246" s="14" t="s">
        <v>145</v>
      </c>
      <c r="J246" s="14" t="s">
        <v>145</v>
      </c>
      <c r="K246" s="14" t="s">
        <v>145</v>
      </c>
      <c r="L246" s="14" t="s">
        <v>145</v>
      </c>
      <c r="M246" s="14" t="s">
        <v>145</v>
      </c>
      <c r="N246" s="41" t="s">
        <v>145</v>
      </c>
    </row>
    <row r="247" spans="1:14" x14ac:dyDescent="0.3">
      <c r="A247" s="39" t="s">
        <v>145</v>
      </c>
      <c r="B247" s="14" t="s">
        <v>145</v>
      </c>
      <c r="C247" s="14" t="s">
        <v>145</v>
      </c>
      <c r="D247" s="14" t="s">
        <v>145</v>
      </c>
      <c r="E247" s="14" t="s">
        <v>145</v>
      </c>
      <c r="F247" s="39" t="s">
        <v>145</v>
      </c>
      <c r="G247" s="14" t="s">
        <v>145</v>
      </c>
      <c r="H247" s="14" t="s">
        <v>145</v>
      </c>
      <c r="I247" s="14" t="s">
        <v>145</v>
      </c>
      <c r="J247" s="14" t="s">
        <v>145</v>
      </c>
      <c r="K247" s="14" t="s">
        <v>145</v>
      </c>
      <c r="L247" s="14" t="s">
        <v>145</v>
      </c>
      <c r="M247" s="14" t="s">
        <v>145</v>
      </c>
      <c r="N247" s="41" t="s">
        <v>145</v>
      </c>
    </row>
    <row r="248" spans="1:14" x14ac:dyDescent="0.3">
      <c r="A248" s="39" t="s">
        <v>145</v>
      </c>
      <c r="B248" s="14" t="s">
        <v>145</v>
      </c>
      <c r="C248" s="14" t="s">
        <v>145</v>
      </c>
      <c r="D248" s="14" t="s">
        <v>145</v>
      </c>
      <c r="E248" s="14" t="s">
        <v>145</v>
      </c>
      <c r="F248" s="39" t="s">
        <v>145</v>
      </c>
      <c r="G248" s="14" t="s">
        <v>145</v>
      </c>
      <c r="H248" s="14" t="s">
        <v>145</v>
      </c>
      <c r="I248" s="14" t="s">
        <v>145</v>
      </c>
      <c r="J248" s="14" t="s">
        <v>145</v>
      </c>
      <c r="K248" s="14" t="s">
        <v>145</v>
      </c>
      <c r="L248" s="14" t="s">
        <v>145</v>
      </c>
      <c r="M248" s="14" t="s">
        <v>145</v>
      </c>
      <c r="N248" s="41" t="s">
        <v>145</v>
      </c>
    </row>
    <row r="249" spans="1:14" x14ac:dyDescent="0.3">
      <c r="A249" s="39" t="s">
        <v>145</v>
      </c>
      <c r="B249" s="14" t="s">
        <v>145</v>
      </c>
      <c r="C249" s="14" t="s">
        <v>145</v>
      </c>
      <c r="D249" s="14" t="s">
        <v>145</v>
      </c>
      <c r="E249" s="14" t="s">
        <v>145</v>
      </c>
      <c r="F249" s="39" t="s">
        <v>145</v>
      </c>
      <c r="G249" s="14" t="s">
        <v>145</v>
      </c>
      <c r="H249" s="14" t="s">
        <v>145</v>
      </c>
      <c r="I249" s="14" t="s">
        <v>145</v>
      </c>
      <c r="J249" s="14" t="s">
        <v>145</v>
      </c>
      <c r="K249" s="14" t="s">
        <v>145</v>
      </c>
      <c r="L249" s="14" t="s">
        <v>145</v>
      </c>
      <c r="M249" s="14" t="s">
        <v>145</v>
      </c>
      <c r="N249" s="41" t="s">
        <v>145</v>
      </c>
    </row>
    <row r="250" spans="1:14" x14ac:dyDescent="0.3">
      <c r="A250" s="39" t="s">
        <v>145</v>
      </c>
      <c r="B250" s="14" t="s">
        <v>145</v>
      </c>
      <c r="C250" s="14" t="s">
        <v>145</v>
      </c>
      <c r="D250" s="14" t="s">
        <v>145</v>
      </c>
      <c r="E250" s="14" t="s">
        <v>145</v>
      </c>
      <c r="F250" s="39" t="s">
        <v>145</v>
      </c>
      <c r="G250" s="14" t="s">
        <v>145</v>
      </c>
      <c r="H250" s="14" t="s">
        <v>145</v>
      </c>
      <c r="I250" s="14" t="s">
        <v>145</v>
      </c>
      <c r="J250" s="14" t="s">
        <v>145</v>
      </c>
      <c r="K250" s="14" t="s">
        <v>145</v>
      </c>
      <c r="L250" s="14" t="s">
        <v>145</v>
      </c>
      <c r="M250" s="14" t="s">
        <v>145</v>
      </c>
      <c r="N250" s="41" t="s">
        <v>145</v>
      </c>
    </row>
    <row r="251" spans="1:14" x14ac:dyDescent="0.3">
      <c r="A251" s="39" t="s">
        <v>145</v>
      </c>
      <c r="B251" s="14" t="s">
        <v>145</v>
      </c>
      <c r="C251" s="14" t="s">
        <v>145</v>
      </c>
      <c r="D251" s="14" t="s">
        <v>145</v>
      </c>
      <c r="E251" s="14" t="s">
        <v>145</v>
      </c>
      <c r="F251" s="39" t="s">
        <v>145</v>
      </c>
      <c r="G251" s="14" t="s">
        <v>145</v>
      </c>
      <c r="H251" s="14" t="s">
        <v>145</v>
      </c>
      <c r="I251" s="14" t="s">
        <v>145</v>
      </c>
      <c r="J251" s="14" t="s">
        <v>145</v>
      </c>
      <c r="K251" s="14" t="s">
        <v>145</v>
      </c>
      <c r="L251" s="14" t="s">
        <v>145</v>
      </c>
      <c r="M251" s="14" t="s">
        <v>145</v>
      </c>
      <c r="N251" s="41" t="s">
        <v>145</v>
      </c>
    </row>
    <row r="252" spans="1:14" x14ac:dyDescent="0.3">
      <c r="A252" s="39" t="s">
        <v>145</v>
      </c>
      <c r="B252" s="14" t="s">
        <v>145</v>
      </c>
      <c r="C252" s="14" t="s">
        <v>145</v>
      </c>
      <c r="D252" s="14" t="s">
        <v>145</v>
      </c>
      <c r="E252" s="14" t="s">
        <v>145</v>
      </c>
      <c r="F252" s="39" t="s">
        <v>145</v>
      </c>
      <c r="G252" s="14" t="s">
        <v>145</v>
      </c>
      <c r="H252" s="14" t="s">
        <v>145</v>
      </c>
      <c r="I252" s="14" t="s">
        <v>145</v>
      </c>
      <c r="J252" s="14" t="s">
        <v>145</v>
      </c>
      <c r="K252" s="14" t="s">
        <v>145</v>
      </c>
      <c r="L252" s="14" t="s">
        <v>145</v>
      </c>
      <c r="M252" s="14" t="s">
        <v>145</v>
      </c>
      <c r="N252" s="41" t="s">
        <v>145</v>
      </c>
    </row>
    <row r="253" spans="1:14" x14ac:dyDescent="0.3">
      <c r="A253" s="39" t="s">
        <v>145</v>
      </c>
      <c r="B253" s="14" t="s">
        <v>145</v>
      </c>
      <c r="C253" s="14" t="s">
        <v>145</v>
      </c>
      <c r="D253" s="14" t="s">
        <v>145</v>
      </c>
      <c r="E253" s="14" t="s">
        <v>145</v>
      </c>
      <c r="F253" s="39" t="s">
        <v>145</v>
      </c>
      <c r="G253" s="14" t="s">
        <v>145</v>
      </c>
      <c r="H253" s="14" t="s">
        <v>145</v>
      </c>
      <c r="I253" s="14" t="s">
        <v>145</v>
      </c>
      <c r="J253" s="14" t="s">
        <v>145</v>
      </c>
      <c r="K253" s="14" t="s">
        <v>145</v>
      </c>
      <c r="L253" s="14" t="s">
        <v>145</v>
      </c>
      <c r="M253" s="14" t="s">
        <v>145</v>
      </c>
      <c r="N253" s="41" t="s">
        <v>145</v>
      </c>
    </row>
    <row r="254" spans="1:14" x14ac:dyDescent="0.3">
      <c r="A254" s="39" t="s">
        <v>145</v>
      </c>
      <c r="B254" s="14" t="s">
        <v>145</v>
      </c>
      <c r="C254" s="14" t="s">
        <v>145</v>
      </c>
      <c r="D254" s="14" t="s">
        <v>145</v>
      </c>
      <c r="E254" s="14" t="s">
        <v>145</v>
      </c>
      <c r="F254" s="39" t="s">
        <v>145</v>
      </c>
      <c r="G254" s="14" t="s">
        <v>145</v>
      </c>
      <c r="H254" s="14" t="s">
        <v>145</v>
      </c>
      <c r="I254" s="14" t="s">
        <v>145</v>
      </c>
      <c r="J254" s="14" t="s">
        <v>145</v>
      </c>
      <c r="K254" s="14" t="s">
        <v>145</v>
      </c>
      <c r="L254" s="14" t="s">
        <v>145</v>
      </c>
      <c r="M254" s="14" t="s">
        <v>145</v>
      </c>
      <c r="N254" s="41" t="s">
        <v>145</v>
      </c>
    </row>
    <row r="255" spans="1:14" x14ac:dyDescent="0.3">
      <c r="A255" s="39" t="s">
        <v>145</v>
      </c>
      <c r="B255" s="14" t="s">
        <v>145</v>
      </c>
      <c r="C255" s="14" t="s">
        <v>145</v>
      </c>
      <c r="D255" s="14" t="s">
        <v>145</v>
      </c>
      <c r="E255" s="14" t="s">
        <v>145</v>
      </c>
      <c r="F255" s="39" t="s">
        <v>145</v>
      </c>
      <c r="G255" s="14" t="s">
        <v>145</v>
      </c>
      <c r="H255" s="14" t="s">
        <v>145</v>
      </c>
      <c r="I255" s="14" t="s">
        <v>145</v>
      </c>
      <c r="J255" s="14" t="s">
        <v>145</v>
      </c>
      <c r="K255" s="14" t="s">
        <v>145</v>
      </c>
      <c r="L255" s="14" t="s">
        <v>145</v>
      </c>
      <c r="M255" s="14" t="s">
        <v>145</v>
      </c>
      <c r="N255" s="41" t="s">
        <v>145</v>
      </c>
    </row>
    <row r="256" spans="1:14" x14ac:dyDescent="0.3">
      <c r="A256" s="39" t="s">
        <v>145</v>
      </c>
      <c r="B256" s="14" t="s">
        <v>145</v>
      </c>
      <c r="C256" s="14" t="s">
        <v>145</v>
      </c>
      <c r="D256" s="14" t="s">
        <v>145</v>
      </c>
      <c r="E256" s="14" t="s">
        <v>145</v>
      </c>
      <c r="F256" s="39" t="s">
        <v>145</v>
      </c>
      <c r="G256" s="14" t="s">
        <v>145</v>
      </c>
      <c r="H256" s="14" t="s">
        <v>145</v>
      </c>
      <c r="I256" s="14" t="s">
        <v>145</v>
      </c>
      <c r="J256" s="14" t="s">
        <v>145</v>
      </c>
      <c r="K256" s="14" t="s">
        <v>145</v>
      </c>
      <c r="L256" s="14" t="s">
        <v>145</v>
      </c>
      <c r="M256" s="14" t="s">
        <v>145</v>
      </c>
      <c r="N256" s="41" t="s">
        <v>145</v>
      </c>
    </row>
    <row r="257" spans="1:14" x14ac:dyDescent="0.3">
      <c r="A257" s="39" t="s">
        <v>145</v>
      </c>
      <c r="B257" s="14" t="s">
        <v>145</v>
      </c>
      <c r="C257" s="14" t="s">
        <v>145</v>
      </c>
      <c r="D257" s="14" t="s">
        <v>145</v>
      </c>
      <c r="E257" s="14" t="s">
        <v>145</v>
      </c>
      <c r="F257" s="39" t="s">
        <v>145</v>
      </c>
      <c r="G257" s="14" t="s">
        <v>145</v>
      </c>
      <c r="H257" s="14" t="s">
        <v>145</v>
      </c>
      <c r="I257" s="14" t="s">
        <v>145</v>
      </c>
      <c r="J257" s="14" t="s">
        <v>145</v>
      </c>
      <c r="K257" s="14" t="s">
        <v>145</v>
      </c>
      <c r="L257" s="14" t="s">
        <v>145</v>
      </c>
      <c r="M257" s="14" t="s">
        <v>145</v>
      </c>
      <c r="N257" s="41" t="s">
        <v>145</v>
      </c>
    </row>
    <row r="258" spans="1:14" x14ac:dyDescent="0.3">
      <c r="A258" s="39" t="s">
        <v>145</v>
      </c>
      <c r="B258" s="14" t="s">
        <v>145</v>
      </c>
      <c r="C258" s="14" t="s">
        <v>145</v>
      </c>
      <c r="D258" s="14" t="s">
        <v>145</v>
      </c>
      <c r="E258" s="14" t="s">
        <v>145</v>
      </c>
      <c r="F258" s="39" t="s">
        <v>145</v>
      </c>
      <c r="G258" s="14" t="s">
        <v>145</v>
      </c>
      <c r="H258" s="14" t="s">
        <v>145</v>
      </c>
      <c r="I258" s="14" t="s">
        <v>145</v>
      </c>
      <c r="J258" s="14" t="s">
        <v>145</v>
      </c>
      <c r="K258" s="14" t="s">
        <v>145</v>
      </c>
      <c r="L258" s="14" t="s">
        <v>145</v>
      </c>
      <c r="M258" s="14" t="s">
        <v>145</v>
      </c>
      <c r="N258" s="41" t="s">
        <v>145</v>
      </c>
    </row>
    <row r="259" spans="1:14" x14ac:dyDescent="0.3">
      <c r="A259" s="39" t="s">
        <v>145</v>
      </c>
      <c r="B259" s="14" t="s">
        <v>145</v>
      </c>
      <c r="C259" s="14" t="s">
        <v>145</v>
      </c>
      <c r="D259" s="14" t="s">
        <v>145</v>
      </c>
      <c r="E259" s="14" t="s">
        <v>145</v>
      </c>
      <c r="F259" s="39" t="s">
        <v>145</v>
      </c>
      <c r="G259" s="14" t="s">
        <v>145</v>
      </c>
      <c r="H259" s="14" t="s">
        <v>145</v>
      </c>
      <c r="I259" s="14" t="s">
        <v>145</v>
      </c>
      <c r="J259" s="14" t="s">
        <v>145</v>
      </c>
      <c r="K259" s="14" t="s">
        <v>145</v>
      </c>
      <c r="L259" s="14" t="s">
        <v>145</v>
      </c>
      <c r="M259" s="14" t="s">
        <v>145</v>
      </c>
      <c r="N259" s="41" t="s">
        <v>145</v>
      </c>
    </row>
    <row r="260" spans="1:14" x14ac:dyDescent="0.3">
      <c r="A260" s="39" t="s">
        <v>145</v>
      </c>
      <c r="B260" s="14" t="s">
        <v>145</v>
      </c>
      <c r="C260" s="14" t="s">
        <v>145</v>
      </c>
      <c r="D260" s="14" t="s">
        <v>145</v>
      </c>
      <c r="E260" s="14" t="s">
        <v>145</v>
      </c>
      <c r="F260" s="39" t="s">
        <v>145</v>
      </c>
      <c r="G260" s="14" t="s">
        <v>145</v>
      </c>
      <c r="H260" s="14" t="s">
        <v>145</v>
      </c>
      <c r="I260" s="14" t="s">
        <v>145</v>
      </c>
      <c r="J260" s="14" t="s">
        <v>145</v>
      </c>
      <c r="K260" s="14" t="s">
        <v>145</v>
      </c>
      <c r="L260" s="14" t="s">
        <v>145</v>
      </c>
      <c r="M260" s="14" t="s">
        <v>145</v>
      </c>
      <c r="N260" s="41" t="s">
        <v>145</v>
      </c>
    </row>
    <row r="261" spans="1:14" x14ac:dyDescent="0.3">
      <c r="A261" s="39" t="s">
        <v>145</v>
      </c>
      <c r="B261" s="14" t="s">
        <v>145</v>
      </c>
      <c r="C261" s="14" t="s">
        <v>145</v>
      </c>
      <c r="D261" s="14" t="s">
        <v>145</v>
      </c>
      <c r="E261" s="14" t="s">
        <v>145</v>
      </c>
      <c r="F261" s="39" t="s">
        <v>145</v>
      </c>
      <c r="G261" s="14" t="s">
        <v>145</v>
      </c>
      <c r="H261" s="14" t="s">
        <v>145</v>
      </c>
      <c r="I261" s="14" t="s">
        <v>145</v>
      </c>
      <c r="J261" s="14" t="s">
        <v>145</v>
      </c>
      <c r="K261" s="14" t="s">
        <v>145</v>
      </c>
      <c r="L261" s="14" t="s">
        <v>145</v>
      </c>
      <c r="M261" s="14" t="s">
        <v>145</v>
      </c>
      <c r="N261" s="41" t="s">
        <v>145</v>
      </c>
    </row>
    <row r="262" spans="1:14" x14ac:dyDescent="0.3">
      <c r="A262" s="39" t="s">
        <v>145</v>
      </c>
      <c r="B262" s="14" t="s">
        <v>145</v>
      </c>
      <c r="C262" s="14" t="s">
        <v>145</v>
      </c>
      <c r="D262" s="14" t="s">
        <v>145</v>
      </c>
      <c r="E262" s="14" t="s">
        <v>145</v>
      </c>
      <c r="F262" s="39" t="s">
        <v>145</v>
      </c>
      <c r="G262" s="14" t="s">
        <v>145</v>
      </c>
      <c r="H262" s="14" t="s">
        <v>145</v>
      </c>
      <c r="I262" s="14" t="s">
        <v>145</v>
      </c>
      <c r="J262" s="14" t="s">
        <v>145</v>
      </c>
      <c r="K262" s="14" t="s">
        <v>145</v>
      </c>
      <c r="L262" s="14" t="s">
        <v>145</v>
      </c>
      <c r="M262" s="14" t="s">
        <v>145</v>
      </c>
      <c r="N262" s="41" t="s">
        <v>145</v>
      </c>
    </row>
    <row r="263" spans="1:14" x14ac:dyDescent="0.3">
      <c r="A263" s="39" t="s">
        <v>145</v>
      </c>
      <c r="B263" s="14" t="s">
        <v>145</v>
      </c>
      <c r="C263" s="14" t="s">
        <v>145</v>
      </c>
      <c r="D263" s="14" t="s">
        <v>145</v>
      </c>
      <c r="E263" s="14" t="s">
        <v>145</v>
      </c>
      <c r="F263" s="39" t="s">
        <v>145</v>
      </c>
      <c r="G263" s="14" t="s">
        <v>145</v>
      </c>
      <c r="H263" s="14" t="s">
        <v>145</v>
      </c>
      <c r="I263" s="14" t="s">
        <v>145</v>
      </c>
      <c r="J263" s="14" t="s">
        <v>145</v>
      </c>
      <c r="K263" s="14" t="s">
        <v>145</v>
      </c>
      <c r="L263" s="14" t="s">
        <v>145</v>
      </c>
      <c r="M263" s="14" t="s">
        <v>145</v>
      </c>
      <c r="N263" s="41" t="s">
        <v>145</v>
      </c>
    </row>
    <row r="264" spans="1:14" x14ac:dyDescent="0.3">
      <c r="A264" s="39" t="s">
        <v>145</v>
      </c>
      <c r="B264" s="14" t="s">
        <v>145</v>
      </c>
      <c r="C264" s="14" t="s">
        <v>145</v>
      </c>
      <c r="D264" s="14" t="s">
        <v>145</v>
      </c>
      <c r="E264" s="14" t="s">
        <v>145</v>
      </c>
      <c r="F264" s="39" t="s">
        <v>145</v>
      </c>
      <c r="G264" s="14" t="s">
        <v>145</v>
      </c>
      <c r="H264" s="14" t="s">
        <v>145</v>
      </c>
      <c r="I264" s="14" t="s">
        <v>145</v>
      </c>
      <c r="J264" s="14" t="s">
        <v>145</v>
      </c>
      <c r="K264" s="14" t="s">
        <v>145</v>
      </c>
      <c r="L264" s="14" t="s">
        <v>145</v>
      </c>
      <c r="M264" s="14" t="s">
        <v>145</v>
      </c>
      <c r="N264" s="41" t="s">
        <v>145</v>
      </c>
    </row>
    <row r="265" spans="1:14" x14ac:dyDescent="0.3">
      <c r="A265" s="39" t="s">
        <v>145</v>
      </c>
      <c r="B265" s="14" t="s">
        <v>145</v>
      </c>
      <c r="C265" s="14" t="s">
        <v>145</v>
      </c>
      <c r="D265" s="14" t="s">
        <v>145</v>
      </c>
      <c r="E265" s="14" t="s">
        <v>145</v>
      </c>
      <c r="F265" s="39" t="s">
        <v>145</v>
      </c>
      <c r="G265" s="14" t="s">
        <v>145</v>
      </c>
      <c r="H265" s="14" t="s">
        <v>145</v>
      </c>
      <c r="I265" s="14" t="s">
        <v>145</v>
      </c>
      <c r="J265" s="14" t="s">
        <v>145</v>
      </c>
      <c r="K265" s="14" t="s">
        <v>145</v>
      </c>
      <c r="L265" s="14" t="s">
        <v>145</v>
      </c>
      <c r="M265" s="14" t="s">
        <v>145</v>
      </c>
      <c r="N265" s="41" t="s">
        <v>145</v>
      </c>
    </row>
    <row r="266" spans="1:14" x14ac:dyDescent="0.3">
      <c r="A266" s="39" t="s">
        <v>145</v>
      </c>
      <c r="B266" s="14" t="s">
        <v>145</v>
      </c>
      <c r="C266" s="14" t="s">
        <v>145</v>
      </c>
      <c r="D266" s="14" t="s">
        <v>145</v>
      </c>
      <c r="E266" s="14" t="s">
        <v>145</v>
      </c>
      <c r="F266" s="39" t="s">
        <v>145</v>
      </c>
      <c r="G266" s="14" t="s">
        <v>145</v>
      </c>
      <c r="H266" s="14" t="s">
        <v>145</v>
      </c>
      <c r="I266" s="14" t="s">
        <v>145</v>
      </c>
      <c r="J266" s="14" t="s">
        <v>145</v>
      </c>
      <c r="K266" s="14" t="s">
        <v>145</v>
      </c>
      <c r="L266" s="14" t="s">
        <v>145</v>
      </c>
      <c r="M266" s="14" t="s">
        <v>145</v>
      </c>
      <c r="N266" s="41" t="s">
        <v>145</v>
      </c>
    </row>
    <row r="267" spans="1:14" x14ac:dyDescent="0.3">
      <c r="A267" s="39" t="s">
        <v>145</v>
      </c>
      <c r="B267" s="14" t="s">
        <v>145</v>
      </c>
      <c r="C267" s="14" t="s">
        <v>145</v>
      </c>
      <c r="D267" s="14" t="s">
        <v>145</v>
      </c>
      <c r="E267" s="14" t="s">
        <v>145</v>
      </c>
      <c r="F267" s="39" t="s">
        <v>145</v>
      </c>
      <c r="G267" s="14" t="s">
        <v>145</v>
      </c>
      <c r="H267" s="14" t="s">
        <v>145</v>
      </c>
      <c r="I267" s="14" t="s">
        <v>145</v>
      </c>
      <c r="J267" s="14" t="s">
        <v>145</v>
      </c>
      <c r="K267" s="14" t="s">
        <v>145</v>
      </c>
      <c r="L267" s="14" t="s">
        <v>145</v>
      </c>
      <c r="M267" s="14" t="s">
        <v>145</v>
      </c>
      <c r="N267" s="41" t="s">
        <v>145</v>
      </c>
    </row>
    <row r="268" spans="1:14" x14ac:dyDescent="0.3">
      <c r="A268" s="39" t="s">
        <v>145</v>
      </c>
      <c r="B268" s="14" t="s">
        <v>145</v>
      </c>
      <c r="C268" s="14" t="s">
        <v>145</v>
      </c>
      <c r="D268" s="14" t="s">
        <v>145</v>
      </c>
      <c r="E268" s="14" t="s">
        <v>145</v>
      </c>
      <c r="F268" s="39" t="s">
        <v>145</v>
      </c>
      <c r="G268" s="14" t="s">
        <v>145</v>
      </c>
      <c r="H268" s="14" t="s">
        <v>145</v>
      </c>
      <c r="I268" s="14" t="s">
        <v>145</v>
      </c>
      <c r="J268" s="14" t="s">
        <v>145</v>
      </c>
      <c r="K268" s="14" t="s">
        <v>145</v>
      </c>
      <c r="L268" s="14" t="s">
        <v>145</v>
      </c>
      <c r="M268" s="14" t="s">
        <v>145</v>
      </c>
      <c r="N268" s="41" t="s">
        <v>145</v>
      </c>
    </row>
    <row r="269" spans="1:14" x14ac:dyDescent="0.3">
      <c r="A269" s="39" t="s">
        <v>145</v>
      </c>
      <c r="B269" s="14" t="s">
        <v>145</v>
      </c>
      <c r="C269" s="14" t="s">
        <v>145</v>
      </c>
      <c r="D269" s="14" t="s">
        <v>145</v>
      </c>
      <c r="E269" s="14" t="s">
        <v>145</v>
      </c>
      <c r="F269" s="39" t="s">
        <v>145</v>
      </c>
      <c r="G269" s="14" t="s">
        <v>145</v>
      </c>
      <c r="H269" s="14" t="s">
        <v>145</v>
      </c>
      <c r="I269" s="14" t="s">
        <v>145</v>
      </c>
      <c r="J269" s="14" t="s">
        <v>145</v>
      </c>
      <c r="K269" s="14" t="s">
        <v>145</v>
      </c>
      <c r="L269" s="14" t="s">
        <v>145</v>
      </c>
      <c r="M269" s="14" t="s">
        <v>145</v>
      </c>
      <c r="N269" s="41" t="s">
        <v>145</v>
      </c>
    </row>
    <row r="270" spans="1:14" x14ac:dyDescent="0.3">
      <c r="A270" s="39" t="s">
        <v>145</v>
      </c>
      <c r="B270" s="14" t="s">
        <v>145</v>
      </c>
      <c r="C270" s="14" t="s">
        <v>145</v>
      </c>
      <c r="D270" s="14" t="s">
        <v>145</v>
      </c>
      <c r="E270" s="14" t="s">
        <v>145</v>
      </c>
      <c r="F270" s="39" t="s">
        <v>145</v>
      </c>
      <c r="G270" s="14" t="s">
        <v>145</v>
      </c>
      <c r="H270" s="14" t="s">
        <v>145</v>
      </c>
      <c r="I270" s="14" t="s">
        <v>145</v>
      </c>
      <c r="J270" s="14" t="s">
        <v>145</v>
      </c>
      <c r="K270" s="14" t="s">
        <v>145</v>
      </c>
      <c r="L270" s="14" t="s">
        <v>145</v>
      </c>
      <c r="M270" s="14" t="s">
        <v>145</v>
      </c>
      <c r="N270" s="41" t="s">
        <v>145</v>
      </c>
    </row>
    <row r="271" spans="1:14" x14ac:dyDescent="0.3">
      <c r="A271" s="39" t="s">
        <v>145</v>
      </c>
      <c r="B271" s="14" t="s">
        <v>145</v>
      </c>
      <c r="C271" s="14" t="s">
        <v>145</v>
      </c>
      <c r="D271" s="14" t="s">
        <v>145</v>
      </c>
      <c r="E271" s="14" t="s">
        <v>145</v>
      </c>
      <c r="F271" s="39" t="s">
        <v>145</v>
      </c>
      <c r="G271" s="14" t="s">
        <v>145</v>
      </c>
      <c r="H271" s="14" t="s">
        <v>145</v>
      </c>
      <c r="I271" s="14" t="s">
        <v>145</v>
      </c>
      <c r="J271" s="14" t="s">
        <v>145</v>
      </c>
      <c r="K271" s="14" t="s">
        <v>145</v>
      </c>
      <c r="L271" s="14" t="s">
        <v>145</v>
      </c>
      <c r="M271" s="14" t="s">
        <v>145</v>
      </c>
      <c r="N271" s="41" t="s">
        <v>145</v>
      </c>
    </row>
    <row r="272" spans="1:14" x14ac:dyDescent="0.3">
      <c r="A272" s="39" t="s">
        <v>145</v>
      </c>
      <c r="B272" s="14" t="s">
        <v>145</v>
      </c>
      <c r="C272" s="14" t="s">
        <v>145</v>
      </c>
      <c r="D272" s="14" t="s">
        <v>145</v>
      </c>
      <c r="E272" s="14" t="s">
        <v>145</v>
      </c>
      <c r="F272" s="39" t="s">
        <v>145</v>
      </c>
      <c r="G272" s="14" t="s">
        <v>145</v>
      </c>
      <c r="H272" s="14" t="s">
        <v>145</v>
      </c>
      <c r="I272" s="14" t="s">
        <v>145</v>
      </c>
      <c r="J272" s="14" t="s">
        <v>145</v>
      </c>
      <c r="K272" s="14" t="s">
        <v>145</v>
      </c>
      <c r="L272" s="14" t="s">
        <v>145</v>
      </c>
      <c r="M272" s="14" t="s">
        <v>145</v>
      </c>
      <c r="N272" s="41" t="s">
        <v>145</v>
      </c>
    </row>
    <row r="273" spans="1:14" x14ac:dyDescent="0.3">
      <c r="A273" s="39" t="s">
        <v>145</v>
      </c>
      <c r="B273" s="14" t="s">
        <v>145</v>
      </c>
      <c r="C273" s="14" t="s">
        <v>145</v>
      </c>
      <c r="D273" s="14" t="s">
        <v>145</v>
      </c>
      <c r="E273" s="14" t="s">
        <v>145</v>
      </c>
      <c r="F273" s="39" t="s">
        <v>145</v>
      </c>
      <c r="G273" s="14" t="s">
        <v>145</v>
      </c>
      <c r="H273" s="14" t="s">
        <v>145</v>
      </c>
      <c r="I273" s="14" t="s">
        <v>145</v>
      </c>
      <c r="J273" s="14" t="s">
        <v>145</v>
      </c>
      <c r="K273" s="14" t="s">
        <v>145</v>
      </c>
      <c r="L273" s="14" t="s">
        <v>145</v>
      </c>
      <c r="M273" s="14" t="s">
        <v>145</v>
      </c>
      <c r="N273" s="41" t="s">
        <v>145</v>
      </c>
    </row>
    <row r="274" spans="1:14" x14ac:dyDescent="0.3">
      <c r="A274" s="39" t="s">
        <v>145</v>
      </c>
      <c r="B274" s="14" t="s">
        <v>145</v>
      </c>
      <c r="C274" s="14" t="s">
        <v>145</v>
      </c>
      <c r="D274" s="14" t="s">
        <v>145</v>
      </c>
      <c r="E274" s="14" t="s">
        <v>145</v>
      </c>
      <c r="F274" s="39" t="s">
        <v>145</v>
      </c>
      <c r="G274" s="14" t="s">
        <v>145</v>
      </c>
      <c r="H274" s="14" t="s">
        <v>145</v>
      </c>
      <c r="I274" s="14" t="s">
        <v>145</v>
      </c>
      <c r="J274" s="14" t="s">
        <v>145</v>
      </c>
      <c r="K274" s="14" t="s">
        <v>145</v>
      </c>
      <c r="L274" s="14" t="s">
        <v>145</v>
      </c>
      <c r="M274" s="14" t="s">
        <v>145</v>
      </c>
      <c r="N274" s="41" t="s">
        <v>145</v>
      </c>
    </row>
    <row r="275" spans="1:14" x14ac:dyDescent="0.3">
      <c r="A275" s="39" t="s">
        <v>145</v>
      </c>
      <c r="B275" s="14" t="s">
        <v>145</v>
      </c>
      <c r="C275" s="14" t="s">
        <v>145</v>
      </c>
      <c r="D275" s="14" t="s">
        <v>145</v>
      </c>
      <c r="E275" s="14" t="s">
        <v>145</v>
      </c>
      <c r="F275" s="39" t="s">
        <v>145</v>
      </c>
      <c r="G275" s="14" t="s">
        <v>145</v>
      </c>
      <c r="H275" s="14" t="s">
        <v>145</v>
      </c>
      <c r="I275" s="14" t="s">
        <v>145</v>
      </c>
      <c r="J275" s="14" t="s">
        <v>145</v>
      </c>
      <c r="K275" s="14" t="s">
        <v>145</v>
      </c>
      <c r="L275" s="14" t="s">
        <v>145</v>
      </c>
      <c r="M275" s="14" t="s">
        <v>145</v>
      </c>
      <c r="N275" s="41" t="s">
        <v>145</v>
      </c>
    </row>
    <row r="276" spans="1:14" x14ac:dyDescent="0.3">
      <c r="A276" s="39" t="s">
        <v>145</v>
      </c>
      <c r="B276" s="14" t="s">
        <v>145</v>
      </c>
      <c r="C276" s="14" t="s">
        <v>145</v>
      </c>
      <c r="D276" s="14" t="s">
        <v>145</v>
      </c>
      <c r="E276" s="14" t="s">
        <v>145</v>
      </c>
      <c r="F276" s="39" t="s">
        <v>145</v>
      </c>
      <c r="G276" s="14" t="s">
        <v>145</v>
      </c>
      <c r="H276" s="14" t="s">
        <v>145</v>
      </c>
      <c r="I276" s="14" t="s">
        <v>145</v>
      </c>
      <c r="J276" s="14" t="s">
        <v>145</v>
      </c>
      <c r="K276" s="14" t="s">
        <v>145</v>
      </c>
      <c r="L276" s="14" t="s">
        <v>145</v>
      </c>
      <c r="M276" s="14" t="s">
        <v>145</v>
      </c>
      <c r="N276" s="41" t="s">
        <v>145</v>
      </c>
    </row>
    <row r="277" spans="1:14" x14ac:dyDescent="0.3">
      <c r="A277" s="39" t="s">
        <v>145</v>
      </c>
      <c r="B277" s="14" t="s">
        <v>145</v>
      </c>
      <c r="C277" s="14" t="s">
        <v>145</v>
      </c>
      <c r="D277" s="14" t="s">
        <v>145</v>
      </c>
      <c r="E277" s="14" t="s">
        <v>145</v>
      </c>
      <c r="F277" s="39" t="s">
        <v>145</v>
      </c>
      <c r="G277" s="14" t="s">
        <v>145</v>
      </c>
      <c r="H277" s="14" t="s">
        <v>145</v>
      </c>
      <c r="I277" s="14" t="s">
        <v>145</v>
      </c>
      <c r="J277" s="14" t="s">
        <v>145</v>
      </c>
      <c r="K277" s="14" t="s">
        <v>145</v>
      </c>
      <c r="L277" s="14" t="s">
        <v>145</v>
      </c>
      <c r="M277" s="14" t="s">
        <v>145</v>
      </c>
      <c r="N277" s="41" t="s">
        <v>145</v>
      </c>
    </row>
    <row r="278" spans="1:14" x14ac:dyDescent="0.3">
      <c r="A278" s="39" t="s">
        <v>145</v>
      </c>
      <c r="B278" s="14" t="s">
        <v>145</v>
      </c>
      <c r="C278" s="14" t="s">
        <v>145</v>
      </c>
      <c r="D278" s="14" t="s">
        <v>145</v>
      </c>
      <c r="E278" s="14" t="s">
        <v>145</v>
      </c>
      <c r="F278" s="39" t="s">
        <v>145</v>
      </c>
      <c r="G278" s="14" t="s">
        <v>145</v>
      </c>
      <c r="H278" s="14" t="s">
        <v>145</v>
      </c>
      <c r="I278" s="14" t="s">
        <v>145</v>
      </c>
      <c r="J278" s="14" t="s">
        <v>145</v>
      </c>
      <c r="K278" s="14" t="s">
        <v>145</v>
      </c>
      <c r="L278" s="14" t="s">
        <v>145</v>
      </c>
      <c r="M278" s="14" t="s">
        <v>145</v>
      </c>
      <c r="N278" s="41" t="s">
        <v>145</v>
      </c>
    </row>
    <row r="279" spans="1:14" x14ac:dyDescent="0.3">
      <c r="A279" s="39" t="s">
        <v>145</v>
      </c>
      <c r="B279" s="14" t="s">
        <v>145</v>
      </c>
      <c r="C279" s="14" t="s">
        <v>145</v>
      </c>
      <c r="D279" s="14" t="s">
        <v>145</v>
      </c>
      <c r="E279" s="14" t="s">
        <v>145</v>
      </c>
      <c r="F279" s="39" t="s">
        <v>145</v>
      </c>
      <c r="G279" s="14" t="s">
        <v>145</v>
      </c>
      <c r="H279" s="14" t="s">
        <v>145</v>
      </c>
      <c r="I279" s="14" t="s">
        <v>145</v>
      </c>
      <c r="J279" s="14" t="s">
        <v>145</v>
      </c>
      <c r="K279" s="14" t="s">
        <v>145</v>
      </c>
      <c r="L279" s="14" t="s">
        <v>145</v>
      </c>
      <c r="M279" s="14" t="s">
        <v>145</v>
      </c>
      <c r="N279" s="41" t="s">
        <v>145</v>
      </c>
    </row>
    <row r="280" spans="1:14" x14ac:dyDescent="0.3">
      <c r="A280" s="39" t="s">
        <v>145</v>
      </c>
      <c r="B280" s="14" t="s">
        <v>145</v>
      </c>
      <c r="C280" s="14" t="s">
        <v>145</v>
      </c>
      <c r="D280" s="14" t="s">
        <v>145</v>
      </c>
      <c r="E280" s="14" t="s">
        <v>145</v>
      </c>
      <c r="F280" s="39" t="s">
        <v>145</v>
      </c>
      <c r="G280" s="14" t="s">
        <v>145</v>
      </c>
      <c r="H280" s="14" t="s">
        <v>145</v>
      </c>
      <c r="I280" s="14" t="s">
        <v>145</v>
      </c>
      <c r="J280" s="14" t="s">
        <v>145</v>
      </c>
      <c r="K280" s="14" t="s">
        <v>145</v>
      </c>
      <c r="L280" s="14" t="s">
        <v>145</v>
      </c>
      <c r="M280" s="14" t="s">
        <v>145</v>
      </c>
      <c r="N280" s="41" t="s">
        <v>145</v>
      </c>
    </row>
    <row r="281" spans="1:14" x14ac:dyDescent="0.3">
      <c r="A281" s="39" t="s">
        <v>145</v>
      </c>
      <c r="B281" s="14" t="s">
        <v>145</v>
      </c>
      <c r="C281" s="14" t="s">
        <v>145</v>
      </c>
      <c r="D281" s="14" t="s">
        <v>145</v>
      </c>
      <c r="E281" s="14" t="s">
        <v>145</v>
      </c>
      <c r="F281" s="39" t="s">
        <v>145</v>
      </c>
      <c r="G281" s="14" t="s">
        <v>145</v>
      </c>
      <c r="H281" s="14" t="s">
        <v>145</v>
      </c>
      <c r="I281" s="14" t="s">
        <v>145</v>
      </c>
      <c r="J281" s="14" t="s">
        <v>145</v>
      </c>
      <c r="K281" s="14" t="s">
        <v>145</v>
      </c>
      <c r="L281" s="14" t="s">
        <v>145</v>
      </c>
      <c r="M281" s="14" t="s">
        <v>145</v>
      </c>
      <c r="N281" s="41" t="s">
        <v>145</v>
      </c>
    </row>
    <row r="282" spans="1:14" x14ac:dyDescent="0.3">
      <c r="A282" s="39" t="s">
        <v>145</v>
      </c>
      <c r="B282" s="14" t="s">
        <v>145</v>
      </c>
      <c r="C282" s="14" t="s">
        <v>145</v>
      </c>
      <c r="D282" s="14" t="s">
        <v>145</v>
      </c>
      <c r="E282" s="14" t="s">
        <v>145</v>
      </c>
      <c r="F282" s="39" t="s">
        <v>145</v>
      </c>
      <c r="G282" s="14" t="s">
        <v>145</v>
      </c>
      <c r="H282" s="14" t="s">
        <v>145</v>
      </c>
      <c r="I282" s="14" t="s">
        <v>145</v>
      </c>
      <c r="J282" s="14" t="s">
        <v>145</v>
      </c>
      <c r="K282" s="14" t="s">
        <v>145</v>
      </c>
      <c r="L282" s="14" t="s">
        <v>145</v>
      </c>
      <c r="M282" s="14" t="s">
        <v>145</v>
      </c>
      <c r="N282" s="41" t="s">
        <v>145</v>
      </c>
    </row>
    <row r="283" spans="1:14" x14ac:dyDescent="0.3">
      <c r="A283" s="39" t="s">
        <v>145</v>
      </c>
      <c r="B283" s="14" t="s">
        <v>145</v>
      </c>
      <c r="C283" s="14" t="s">
        <v>145</v>
      </c>
      <c r="D283" s="14" t="s">
        <v>145</v>
      </c>
      <c r="E283" s="14" t="s">
        <v>145</v>
      </c>
      <c r="F283" s="39" t="s">
        <v>145</v>
      </c>
      <c r="G283" s="14" t="s">
        <v>145</v>
      </c>
      <c r="H283" s="14" t="s">
        <v>145</v>
      </c>
      <c r="I283" s="14" t="s">
        <v>145</v>
      </c>
      <c r="J283" s="14" t="s">
        <v>145</v>
      </c>
      <c r="K283" s="14" t="s">
        <v>145</v>
      </c>
      <c r="L283" s="14" t="s">
        <v>145</v>
      </c>
      <c r="M283" s="14" t="s">
        <v>145</v>
      </c>
      <c r="N283" s="41" t="s">
        <v>145</v>
      </c>
    </row>
    <row r="284" spans="1:14" x14ac:dyDescent="0.3">
      <c r="A284" s="39" t="s">
        <v>145</v>
      </c>
      <c r="B284" s="14" t="s">
        <v>145</v>
      </c>
      <c r="C284" s="14" t="s">
        <v>145</v>
      </c>
      <c r="D284" s="14" t="s">
        <v>145</v>
      </c>
      <c r="E284" s="14" t="s">
        <v>145</v>
      </c>
      <c r="F284" s="39" t="s">
        <v>145</v>
      </c>
      <c r="G284" s="14" t="s">
        <v>145</v>
      </c>
      <c r="H284" s="14" t="s">
        <v>145</v>
      </c>
      <c r="I284" s="14" t="s">
        <v>145</v>
      </c>
      <c r="J284" s="14" t="s">
        <v>145</v>
      </c>
      <c r="K284" s="14" t="s">
        <v>145</v>
      </c>
      <c r="L284" s="14" t="s">
        <v>145</v>
      </c>
      <c r="M284" s="14" t="s">
        <v>145</v>
      </c>
      <c r="N284" s="41" t="s">
        <v>145</v>
      </c>
    </row>
    <row r="285" spans="1:14" x14ac:dyDescent="0.3">
      <c r="A285" s="39" t="s">
        <v>145</v>
      </c>
      <c r="B285" s="14" t="s">
        <v>145</v>
      </c>
      <c r="C285" s="14" t="s">
        <v>145</v>
      </c>
      <c r="D285" s="14" t="s">
        <v>145</v>
      </c>
      <c r="E285" s="14" t="s">
        <v>145</v>
      </c>
      <c r="F285" s="39" t="s">
        <v>145</v>
      </c>
      <c r="G285" s="14" t="s">
        <v>145</v>
      </c>
      <c r="H285" s="14" t="s">
        <v>145</v>
      </c>
      <c r="I285" s="14" t="s">
        <v>145</v>
      </c>
      <c r="J285" s="14" t="s">
        <v>145</v>
      </c>
      <c r="K285" s="14" t="s">
        <v>145</v>
      </c>
      <c r="L285" s="14" t="s">
        <v>145</v>
      </c>
      <c r="M285" s="14" t="s">
        <v>145</v>
      </c>
      <c r="N285" s="41" t="s">
        <v>145</v>
      </c>
    </row>
    <row r="286" spans="1:14" x14ac:dyDescent="0.3">
      <c r="A286" s="39" t="s">
        <v>145</v>
      </c>
      <c r="B286" s="14" t="s">
        <v>145</v>
      </c>
      <c r="C286" s="14" t="s">
        <v>145</v>
      </c>
      <c r="D286" s="14" t="s">
        <v>145</v>
      </c>
      <c r="E286" s="14" t="s">
        <v>145</v>
      </c>
      <c r="F286" s="39" t="s">
        <v>145</v>
      </c>
      <c r="G286" s="14" t="s">
        <v>145</v>
      </c>
      <c r="H286" s="14" t="s">
        <v>145</v>
      </c>
      <c r="I286" s="14" t="s">
        <v>145</v>
      </c>
      <c r="J286" s="14" t="s">
        <v>145</v>
      </c>
      <c r="K286" s="14" t="s">
        <v>145</v>
      </c>
      <c r="L286" s="14" t="s">
        <v>145</v>
      </c>
      <c r="M286" s="14" t="s">
        <v>145</v>
      </c>
      <c r="N286" s="41" t="s">
        <v>145</v>
      </c>
    </row>
    <row r="287" spans="1:14" x14ac:dyDescent="0.3">
      <c r="A287" s="39" t="s">
        <v>145</v>
      </c>
      <c r="B287" s="14" t="s">
        <v>145</v>
      </c>
      <c r="C287" s="14" t="s">
        <v>145</v>
      </c>
      <c r="D287" s="14" t="s">
        <v>145</v>
      </c>
      <c r="E287" s="14" t="s">
        <v>145</v>
      </c>
      <c r="F287" s="39" t="s">
        <v>145</v>
      </c>
      <c r="G287" s="14" t="s">
        <v>145</v>
      </c>
      <c r="H287" s="14" t="s">
        <v>145</v>
      </c>
      <c r="I287" s="14" t="s">
        <v>145</v>
      </c>
      <c r="J287" s="14" t="s">
        <v>145</v>
      </c>
      <c r="K287" s="14" t="s">
        <v>145</v>
      </c>
      <c r="L287" s="14" t="s">
        <v>145</v>
      </c>
      <c r="M287" s="14" t="s">
        <v>145</v>
      </c>
      <c r="N287" s="41" t="s">
        <v>145</v>
      </c>
    </row>
    <row r="288" spans="1:14" x14ac:dyDescent="0.3">
      <c r="A288" s="39" t="s">
        <v>145</v>
      </c>
      <c r="B288" s="14" t="s">
        <v>145</v>
      </c>
      <c r="C288" s="14" t="s">
        <v>145</v>
      </c>
      <c r="D288" s="14" t="s">
        <v>145</v>
      </c>
      <c r="E288" s="14" t="s">
        <v>145</v>
      </c>
      <c r="F288" s="39" t="s">
        <v>145</v>
      </c>
      <c r="G288" s="14" t="s">
        <v>145</v>
      </c>
      <c r="H288" s="14" t="s">
        <v>145</v>
      </c>
      <c r="I288" s="14" t="s">
        <v>145</v>
      </c>
      <c r="J288" s="14" t="s">
        <v>145</v>
      </c>
      <c r="K288" s="14" t="s">
        <v>145</v>
      </c>
      <c r="L288" s="14" t="s">
        <v>145</v>
      </c>
      <c r="M288" s="14" t="s">
        <v>145</v>
      </c>
      <c r="N288" s="41" t="s">
        <v>145</v>
      </c>
    </row>
    <row r="289" spans="1:14" x14ac:dyDescent="0.3">
      <c r="A289" s="39" t="s">
        <v>145</v>
      </c>
      <c r="B289" s="14" t="s">
        <v>145</v>
      </c>
      <c r="C289" s="14" t="s">
        <v>145</v>
      </c>
      <c r="D289" s="14" t="s">
        <v>145</v>
      </c>
      <c r="E289" s="14" t="s">
        <v>145</v>
      </c>
      <c r="F289" s="39" t="s">
        <v>145</v>
      </c>
      <c r="G289" s="14" t="s">
        <v>145</v>
      </c>
      <c r="H289" s="14" t="s">
        <v>145</v>
      </c>
      <c r="I289" s="14" t="s">
        <v>145</v>
      </c>
      <c r="J289" s="14" t="s">
        <v>145</v>
      </c>
      <c r="K289" s="14" t="s">
        <v>145</v>
      </c>
      <c r="L289" s="14" t="s">
        <v>145</v>
      </c>
      <c r="M289" s="14" t="s">
        <v>145</v>
      </c>
      <c r="N289" s="41" t="s">
        <v>145</v>
      </c>
    </row>
    <row r="290" spans="1:14" x14ac:dyDescent="0.3">
      <c r="A290" s="39" t="s">
        <v>145</v>
      </c>
      <c r="B290" s="14" t="s">
        <v>145</v>
      </c>
      <c r="C290" s="14" t="s">
        <v>145</v>
      </c>
      <c r="D290" s="14" t="s">
        <v>145</v>
      </c>
      <c r="E290" s="14" t="s">
        <v>145</v>
      </c>
      <c r="F290" s="39" t="s">
        <v>145</v>
      </c>
      <c r="G290" s="14" t="s">
        <v>145</v>
      </c>
      <c r="H290" s="14" t="s">
        <v>145</v>
      </c>
      <c r="I290" s="14" t="s">
        <v>145</v>
      </c>
      <c r="J290" s="14" t="s">
        <v>145</v>
      </c>
      <c r="K290" s="14" t="s">
        <v>145</v>
      </c>
      <c r="L290" s="14" t="s">
        <v>145</v>
      </c>
      <c r="M290" s="14" t="s">
        <v>145</v>
      </c>
      <c r="N290" s="41" t="s">
        <v>145</v>
      </c>
    </row>
    <row r="291" spans="1:14" x14ac:dyDescent="0.3">
      <c r="A291" s="39" t="s">
        <v>145</v>
      </c>
      <c r="B291" s="14" t="s">
        <v>145</v>
      </c>
      <c r="C291" s="14" t="s">
        <v>145</v>
      </c>
      <c r="D291" s="14" t="s">
        <v>145</v>
      </c>
      <c r="E291" s="14" t="s">
        <v>145</v>
      </c>
      <c r="F291" s="39" t="s">
        <v>145</v>
      </c>
      <c r="G291" s="14" t="s">
        <v>145</v>
      </c>
      <c r="H291" s="14" t="s">
        <v>145</v>
      </c>
      <c r="I291" s="14" t="s">
        <v>145</v>
      </c>
      <c r="J291" s="14" t="s">
        <v>145</v>
      </c>
      <c r="K291" s="14" t="s">
        <v>145</v>
      </c>
      <c r="L291" s="14" t="s">
        <v>145</v>
      </c>
      <c r="M291" s="14" t="s">
        <v>145</v>
      </c>
      <c r="N291" s="41" t="s">
        <v>145</v>
      </c>
    </row>
    <row r="292" spans="1:14" x14ac:dyDescent="0.3">
      <c r="A292" s="39" t="s">
        <v>145</v>
      </c>
      <c r="B292" s="14" t="s">
        <v>145</v>
      </c>
      <c r="C292" s="14" t="s">
        <v>145</v>
      </c>
      <c r="D292" s="14" t="s">
        <v>145</v>
      </c>
      <c r="E292" s="14" t="s">
        <v>145</v>
      </c>
      <c r="F292" s="39" t="s">
        <v>145</v>
      </c>
      <c r="G292" s="14" t="s">
        <v>145</v>
      </c>
      <c r="H292" s="14" t="s">
        <v>145</v>
      </c>
      <c r="I292" s="14" t="s">
        <v>145</v>
      </c>
      <c r="J292" s="14" t="s">
        <v>145</v>
      </c>
      <c r="K292" s="14" t="s">
        <v>145</v>
      </c>
      <c r="L292" s="14" t="s">
        <v>145</v>
      </c>
      <c r="M292" s="14" t="s">
        <v>145</v>
      </c>
      <c r="N292" s="41" t="s">
        <v>145</v>
      </c>
    </row>
    <row r="293" spans="1:14" x14ac:dyDescent="0.3">
      <c r="A293" s="39" t="s">
        <v>145</v>
      </c>
      <c r="B293" s="14" t="s">
        <v>145</v>
      </c>
      <c r="C293" s="14" t="s">
        <v>145</v>
      </c>
      <c r="D293" s="14" t="s">
        <v>145</v>
      </c>
      <c r="E293" s="14" t="s">
        <v>145</v>
      </c>
      <c r="F293" s="39" t="s">
        <v>145</v>
      </c>
      <c r="G293" s="14" t="s">
        <v>145</v>
      </c>
      <c r="H293" s="14" t="s">
        <v>145</v>
      </c>
      <c r="I293" s="14" t="s">
        <v>145</v>
      </c>
      <c r="J293" s="14" t="s">
        <v>145</v>
      </c>
      <c r="K293" s="14" t="s">
        <v>145</v>
      </c>
      <c r="L293" s="14" t="s">
        <v>145</v>
      </c>
      <c r="M293" s="14" t="s">
        <v>145</v>
      </c>
      <c r="N293" s="41" t="s">
        <v>145</v>
      </c>
    </row>
    <row r="294" spans="1:14" x14ac:dyDescent="0.3">
      <c r="A294" s="39" t="s">
        <v>145</v>
      </c>
      <c r="B294" s="14" t="s">
        <v>145</v>
      </c>
      <c r="C294" s="14" t="s">
        <v>145</v>
      </c>
      <c r="D294" s="14" t="s">
        <v>145</v>
      </c>
      <c r="E294" s="14" t="s">
        <v>145</v>
      </c>
      <c r="F294" s="39" t="s">
        <v>145</v>
      </c>
      <c r="G294" s="14" t="s">
        <v>145</v>
      </c>
      <c r="H294" s="14" t="s">
        <v>145</v>
      </c>
      <c r="I294" s="14" t="s">
        <v>145</v>
      </c>
      <c r="J294" s="14" t="s">
        <v>145</v>
      </c>
      <c r="K294" s="14" t="s">
        <v>145</v>
      </c>
      <c r="L294" s="14" t="s">
        <v>145</v>
      </c>
      <c r="M294" s="14" t="s">
        <v>145</v>
      </c>
      <c r="N294" s="41" t="s">
        <v>145</v>
      </c>
    </row>
    <row r="295" spans="1:14" x14ac:dyDescent="0.3">
      <c r="A295" s="39" t="s">
        <v>145</v>
      </c>
      <c r="B295" s="14" t="s">
        <v>145</v>
      </c>
      <c r="C295" s="14" t="s">
        <v>145</v>
      </c>
      <c r="D295" s="14" t="s">
        <v>145</v>
      </c>
      <c r="E295" s="14" t="s">
        <v>145</v>
      </c>
      <c r="F295" s="39" t="s">
        <v>145</v>
      </c>
      <c r="G295" s="14" t="s">
        <v>145</v>
      </c>
      <c r="H295" s="14" t="s">
        <v>145</v>
      </c>
      <c r="I295" s="14" t="s">
        <v>145</v>
      </c>
      <c r="J295" s="14" t="s">
        <v>145</v>
      </c>
      <c r="K295" s="14" t="s">
        <v>145</v>
      </c>
      <c r="L295" s="14" t="s">
        <v>145</v>
      </c>
      <c r="M295" s="14" t="s">
        <v>145</v>
      </c>
      <c r="N295" s="41" t="s">
        <v>145</v>
      </c>
    </row>
    <row r="296" spans="1:14" x14ac:dyDescent="0.3">
      <c r="A296" s="39" t="s">
        <v>145</v>
      </c>
      <c r="B296" s="14" t="s">
        <v>145</v>
      </c>
      <c r="C296" s="14" t="s">
        <v>145</v>
      </c>
      <c r="D296" s="14" t="s">
        <v>145</v>
      </c>
      <c r="E296" s="14" t="s">
        <v>145</v>
      </c>
      <c r="F296" s="39" t="s">
        <v>145</v>
      </c>
      <c r="G296" s="14" t="s">
        <v>145</v>
      </c>
      <c r="H296" s="14" t="s">
        <v>145</v>
      </c>
      <c r="I296" s="14" t="s">
        <v>145</v>
      </c>
      <c r="J296" s="14" t="s">
        <v>145</v>
      </c>
      <c r="K296" s="14" t="s">
        <v>145</v>
      </c>
      <c r="L296" s="14" t="s">
        <v>145</v>
      </c>
      <c r="M296" s="14" t="s">
        <v>145</v>
      </c>
      <c r="N296" s="41" t="s">
        <v>145</v>
      </c>
    </row>
    <row r="297" spans="1:14" x14ac:dyDescent="0.3">
      <c r="A297" s="39" t="s">
        <v>145</v>
      </c>
      <c r="B297" s="14" t="s">
        <v>145</v>
      </c>
      <c r="C297" s="14" t="s">
        <v>145</v>
      </c>
      <c r="D297" s="14" t="s">
        <v>145</v>
      </c>
      <c r="E297" s="14" t="s">
        <v>145</v>
      </c>
      <c r="F297" s="39" t="s">
        <v>145</v>
      </c>
      <c r="G297" s="14" t="s">
        <v>145</v>
      </c>
      <c r="H297" s="14" t="s">
        <v>145</v>
      </c>
      <c r="I297" s="14" t="s">
        <v>145</v>
      </c>
      <c r="J297" s="14" t="s">
        <v>145</v>
      </c>
      <c r="K297" s="14" t="s">
        <v>145</v>
      </c>
      <c r="L297" s="14" t="s">
        <v>145</v>
      </c>
      <c r="M297" s="14" t="s">
        <v>145</v>
      </c>
      <c r="N297" s="41" t="s">
        <v>145</v>
      </c>
    </row>
    <row r="298" spans="1:14" x14ac:dyDescent="0.3">
      <c r="A298" s="39" t="s">
        <v>145</v>
      </c>
      <c r="B298" s="14" t="s">
        <v>145</v>
      </c>
      <c r="C298" s="14" t="s">
        <v>145</v>
      </c>
      <c r="D298" s="14" t="s">
        <v>145</v>
      </c>
      <c r="E298" s="14" t="s">
        <v>145</v>
      </c>
      <c r="F298" s="39" t="s">
        <v>145</v>
      </c>
      <c r="G298" s="14" t="s">
        <v>145</v>
      </c>
      <c r="H298" s="14" t="s">
        <v>145</v>
      </c>
      <c r="I298" s="14" t="s">
        <v>145</v>
      </c>
      <c r="J298" s="14" t="s">
        <v>145</v>
      </c>
      <c r="K298" s="14" t="s">
        <v>145</v>
      </c>
      <c r="L298" s="14" t="s">
        <v>145</v>
      </c>
      <c r="M298" s="14" t="s">
        <v>145</v>
      </c>
      <c r="N298" s="41" t="s">
        <v>145</v>
      </c>
    </row>
    <row r="299" spans="1:14" x14ac:dyDescent="0.3">
      <c r="A299" s="39" t="s">
        <v>145</v>
      </c>
      <c r="B299" s="14" t="s">
        <v>145</v>
      </c>
      <c r="C299" s="14" t="s">
        <v>145</v>
      </c>
      <c r="D299" s="14" t="s">
        <v>145</v>
      </c>
      <c r="E299" s="14" t="s">
        <v>145</v>
      </c>
      <c r="F299" s="39" t="s">
        <v>145</v>
      </c>
      <c r="G299" s="14" t="s">
        <v>145</v>
      </c>
      <c r="H299" s="14" t="s">
        <v>145</v>
      </c>
      <c r="I299" s="14" t="s">
        <v>145</v>
      </c>
      <c r="J299" s="14" t="s">
        <v>145</v>
      </c>
      <c r="K299" s="14" t="s">
        <v>145</v>
      </c>
      <c r="L299" s="14" t="s">
        <v>145</v>
      </c>
      <c r="M299" s="14" t="s">
        <v>145</v>
      </c>
      <c r="N299" s="41" t="s">
        <v>145</v>
      </c>
    </row>
    <row r="300" spans="1:14" x14ac:dyDescent="0.3">
      <c r="A300" s="39" t="s">
        <v>145</v>
      </c>
      <c r="B300" s="14" t="s">
        <v>145</v>
      </c>
      <c r="C300" s="14" t="s">
        <v>145</v>
      </c>
      <c r="D300" s="14" t="s">
        <v>145</v>
      </c>
      <c r="E300" s="14" t="s">
        <v>145</v>
      </c>
      <c r="F300" s="39" t="s">
        <v>145</v>
      </c>
      <c r="G300" s="14" t="s">
        <v>145</v>
      </c>
      <c r="H300" s="14" t="s">
        <v>145</v>
      </c>
      <c r="I300" s="14" t="s">
        <v>145</v>
      </c>
      <c r="J300" s="14" t="s">
        <v>145</v>
      </c>
      <c r="K300" s="14" t="s">
        <v>145</v>
      </c>
      <c r="L300" s="14" t="s">
        <v>145</v>
      </c>
      <c r="M300" s="14" t="s">
        <v>145</v>
      </c>
      <c r="N300" s="41" t="s">
        <v>145</v>
      </c>
    </row>
    <row r="301" spans="1:14" x14ac:dyDescent="0.3">
      <c r="A301" s="39" t="s">
        <v>145</v>
      </c>
      <c r="B301" s="14" t="s">
        <v>145</v>
      </c>
      <c r="C301" s="14" t="s">
        <v>145</v>
      </c>
      <c r="D301" s="14" t="s">
        <v>145</v>
      </c>
      <c r="E301" s="14" t="s">
        <v>145</v>
      </c>
      <c r="F301" s="39" t="s">
        <v>145</v>
      </c>
      <c r="G301" s="14" t="s">
        <v>145</v>
      </c>
      <c r="H301" s="14" t="s">
        <v>145</v>
      </c>
      <c r="I301" s="14" t="s">
        <v>145</v>
      </c>
      <c r="J301" s="14" t="s">
        <v>145</v>
      </c>
      <c r="K301" s="14" t="s">
        <v>145</v>
      </c>
      <c r="L301" s="14" t="s">
        <v>145</v>
      </c>
      <c r="M301" s="14" t="s">
        <v>145</v>
      </c>
      <c r="N301" s="41" t="s">
        <v>145</v>
      </c>
    </row>
    <row r="302" spans="1:14" x14ac:dyDescent="0.3">
      <c r="A302" s="39" t="s">
        <v>145</v>
      </c>
      <c r="B302" s="14" t="s">
        <v>145</v>
      </c>
      <c r="C302" s="14" t="s">
        <v>145</v>
      </c>
      <c r="D302" s="14" t="s">
        <v>145</v>
      </c>
      <c r="E302" s="14" t="s">
        <v>145</v>
      </c>
      <c r="F302" s="39" t="s">
        <v>145</v>
      </c>
      <c r="G302" s="14" t="s">
        <v>145</v>
      </c>
      <c r="H302" s="14" t="s">
        <v>145</v>
      </c>
      <c r="I302" s="14" t="s">
        <v>145</v>
      </c>
      <c r="J302" s="14" t="s">
        <v>145</v>
      </c>
      <c r="K302" s="14" t="s">
        <v>145</v>
      </c>
      <c r="L302" s="14" t="s">
        <v>145</v>
      </c>
      <c r="M302" s="14" t="s">
        <v>145</v>
      </c>
      <c r="N302" s="41" t="s">
        <v>145</v>
      </c>
    </row>
    <row r="303" spans="1:14" x14ac:dyDescent="0.3">
      <c r="A303" s="39" t="s">
        <v>145</v>
      </c>
      <c r="B303" s="14" t="s">
        <v>145</v>
      </c>
      <c r="C303" s="14" t="s">
        <v>145</v>
      </c>
      <c r="D303" s="14" t="s">
        <v>145</v>
      </c>
      <c r="E303" s="14" t="s">
        <v>145</v>
      </c>
      <c r="F303" s="39" t="s">
        <v>145</v>
      </c>
      <c r="G303" s="14" t="s">
        <v>145</v>
      </c>
      <c r="H303" s="14" t="s">
        <v>145</v>
      </c>
      <c r="I303" s="14" t="s">
        <v>145</v>
      </c>
      <c r="J303" s="14" t="s">
        <v>145</v>
      </c>
      <c r="K303" s="14" t="s">
        <v>145</v>
      </c>
      <c r="L303" s="14" t="s">
        <v>145</v>
      </c>
      <c r="M303" s="14" t="s">
        <v>145</v>
      </c>
      <c r="N303" s="41" t="s">
        <v>145</v>
      </c>
    </row>
    <row r="304" spans="1:14" x14ac:dyDescent="0.3">
      <c r="A304" s="39" t="s">
        <v>145</v>
      </c>
      <c r="B304" s="14" t="s">
        <v>145</v>
      </c>
      <c r="C304" s="14" t="s">
        <v>145</v>
      </c>
      <c r="D304" s="14" t="s">
        <v>145</v>
      </c>
      <c r="E304" s="14" t="s">
        <v>145</v>
      </c>
      <c r="F304" s="39" t="s">
        <v>145</v>
      </c>
      <c r="G304" s="14" t="s">
        <v>145</v>
      </c>
      <c r="H304" s="14" t="s">
        <v>145</v>
      </c>
      <c r="I304" s="14" t="s">
        <v>145</v>
      </c>
      <c r="J304" s="14" t="s">
        <v>145</v>
      </c>
      <c r="K304" s="14" t="s">
        <v>145</v>
      </c>
      <c r="L304" s="14" t="s">
        <v>145</v>
      </c>
      <c r="M304" s="14" t="s">
        <v>145</v>
      </c>
      <c r="N304" s="41" t="s">
        <v>145</v>
      </c>
    </row>
    <row r="305" spans="1:14" x14ac:dyDescent="0.3">
      <c r="A305" s="39" t="s">
        <v>145</v>
      </c>
      <c r="B305" s="14" t="s">
        <v>145</v>
      </c>
      <c r="C305" s="14" t="s">
        <v>145</v>
      </c>
      <c r="D305" s="14" t="s">
        <v>145</v>
      </c>
      <c r="E305" s="14" t="s">
        <v>145</v>
      </c>
      <c r="F305" s="39" t="s">
        <v>145</v>
      </c>
      <c r="G305" s="14" t="s">
        <v>145</v>
      </c>
      <c r="H305" s="14" t="s">
        <v>145</v>
      </c>
      <c r="I305" s="14" t="s">
        <v>145</v>
      </c>
      <c r="J305" s="14" t="s">
        <v>145</v>
      </c>
      <c r="K305" s="14" t="s">
        <v>145</v>
      </c>
      <c r="L305" s="14" t="s">
        <v>145</v>
      </c>
      <c r="M305" s="14" t="s">
        <v>145</v>
      </c>
      <c r="N305" s="41" t="s">
        <v>145</v>
      </c>
    </row>
    <row r="306" spans="1:14" x14ac:dyDescent="0.3">
      <c r="A306" s="39" t="s">
        <v>145</v>
      </c>
      <c r="B306" s="14" t="s">
        <v>145</v>
      </c>
      <c r="C306" s="14" t="s">
        <v>145</v>
      </c>
      <c r="D306" s="14" t="s">
        <v>145</v>
      </c>
      <c r="E306" s="14" t="s">
        <v>145</v>
      </c>
      <c r="F306" s="39" t="s">
        <v>145</v>
      </c>
      <c r="G306" s="14" t="s">
        <v>145</v>
      </c>
      <c r="H306" s="14" t="s">
        <v>145</v>
      </c>
      <c r="I306" s="14" t="s">
        <v>145</v>
      </c>
      <c r="J306" s="14" t="s">
        <v>145</v>
      </c>
      <c r="K306" s="14" t="s">
        <v>145</v>
      </c>
      <c r="L306" s="14" t="s">
        <v>145</v>
      </c>
      <c r="M306" s="14" t="s">
        <v>145</v>
      </c>
      <c r="N306" s="41" t="s">
        <v>145</v>
      </c>
    </row>
    <row r="307" spans="1:14" x14ac:dyDescent="0.3">
      <c r="A307" s="39" t="s">
        <v>145</v>
      </c>
      <c r="B307" s="14" t="s">
        <v>145</v>
      </c>
      <c r="C307" s="14" t="s">
        <v>145</v>
      </c>
      <c r="D307" s="14" t="s">
        <v>145</v>
      </c>
      <c r="E307" s="14" t="s">
        <v>145</v>
      </c>
      <c r="F307" s="39" t="s">
        <v>145</v>
      </c>
      <c r="G307" s="14" t="s">
        <v>145</v>
      </c>
      <c r="H307" s="14" t="s">
        <v>145</v>
      </c>
      <c r="I307" s="14" t="s">
        <v>145</v>
      </c>
      <c r="J307" s="14" t="s">
        <v>145</v>
      </c>
      <c r="K307" s="14" t="s">
        <v>145</v>
      </c>
      <c r="L307" s="14" t="s">
        <v>145</v>
      </c>
      <c r="M307" s="14" t="s">
        <v>145</v>
      </c>
      <c r="N307" s="41" t="s">
        <v>145</v>
      </c>
    </row>
    <row r="308" spans="1:14" x14ac:dyDescent="0.3">
      <c r="A308" s="39" t="s">
        <v>145</v>
      </c>
      <c r="B308" s="14" t="s">
        <v>145</v>
      </c>
      <c r="C308" s="14" t="s">
        <v>145</v>
      </c>
      <c r="D308" s="14" t="s">
        <v>145</v>
      </c>
      <c r="E308" s="14" t="s">
        <v>145</v>
      </c>
      <c r="F308" s="39" t="s">
        <v>145</v>
      </c>
      <c r="G308" s="14" t="s">
        <v>145</v>
      </c>
      <c r="H308" s="14" t="s">
        <v>145</v>
      </c>
      <c r="I308" s="14" t="s">
        <v>145</v>
      </c>
      <c r="J308" s="14" t="s">
        <v>145</v>
      </c>
      <c r="K308" s="14" t="s">
        <v>145</v>
      </c>
      <c r="L308" s="14" t="s">
        <v>145</v>
      </c>
      <c r="M308" s="14" t="s">
        <v>145</v>
      </c>
      <c r="N308" s="41" t="s">
        <v>145</v>
      </c>
    </row>
    <row r="309" spans="1:14" x14ac:dyDescent="0.3">
      <c r="A309" s="39" t="s">
        <v>145</v>
      </c>
      <c r="B309" s="14" t="s">
        <v>145</v>
      </c>
      <c r="C309" s="14" t="s">
        <v>145</v>
      </c>
      <c r="D309" s="14" t="s">
        <v>145</v>
      </c>
      <c r="E309" s="14" t="s">
        <v>145</v>
      </c>
      <c r="F309" s="39" t="s">
        <v>145</v>
      </c>
      <c r="G309" s="14" t="s">
        <v>145</v>
      </c>
      <c r="H309" s="14" t="s">
        <v>145</v>
      </c>
      <c r="I309" s="14" t="s">
        <v>145</v>
      </c>
      <c r="J309" s="14" t="s">
        <v>145</v>
      </c>
      <c r="K309" s="14" t="s">
        <v>145</v>
      </c>
      <c r="L309" s="14" t="s">
        <v>145</v>
      </c>
      <c r="M309" s="14" t="s">
        <v>145</v>
      </c>
      <c r="N309" s="41" t="s">
        <v>145</v>
      </c>
    </row>
    <row r="310" spans="1:14" x14ac:dyDescent="0.3">
      <c r="A310" s="39" t="s">
        <v>145</v>
      </c>
      <c r="B310" s="14" t="s">
        <v>145</v>
      </c>
      <c r="C310" s="14" t="s">
        <v>145</v>
      </c>
      <c r="D310" s="14" t="s">
        <v>145</v>
      </c>
      <c r="E310" s="14" t="s">
        <v>145</v>
      </c>
      <c r="F310" s="39" t="s">
        <v>145</v>
      </c>
      <c r="G310" s="14" t="s">
        <v>145</v>
      </c>
      <c r="H310" s="14" t="s">
        <v>145</v>
      </c>
      <c r="I310" s="14" t="s">
        <v>145</v>
      </c>
      <c r="J310" s="14" t="s">
        <v>145</v>
      </c>
      <c r="K310" s="14" t="s">
        <v>145</v>
      </c>
      <c r="L310" s="14" t="s">
        <v>145</v>
      </c>
      <c r="M310" s="14" t="s">
        <v>145</v>
      </c>
      <c r="N310" s="41" t="s">
        <v>145</v>
      </c>
    </row>
    <row r="311" spans="1:14" x14ac:dyDescent="0.3">
      <c r="A311" s="39" t="s">
        <v>145</v>
      </c>
      <c r="B311" s="14" t="s">
        <v>145</v>
      </c>
      <c r="C311" s="14" t="s">
        <v>145</v>
      </c>
      <c r="D311" s="14" t="s">
        <v>145</v>
      </c>
      <c r="E311" s="14" t="s">
        <v>145</v>
      </c>
      <c r="F311" s="39" t="s">
        <v>145</v>
      </c>
      <c r="G311" s="14" t="s">
        <v>145</v>
      </c>
      <c r="H311" s="14" t="s">
        <v>145</v>
      </c>
      <c r="I311" s="14" t="s">
        <v>145</v>
      </c>
      <c r="J311" s="14" t="s">
        <v>145</v>
      </c>
      <c r="K311" s="14" t="s">
        <v>145</v>
      </c>
      <c r="L311" s="14" t="s">
        <v>145</v>
      </c>
      <c r="M311" s="14" t="s">
        <v>145</v>
      </c>
      <c r="N311" s="41" t="s">
        <v>145</v>
      </c>
    </row>
    <row r="312" spans="1:14" x14ac:dyDescent="0.3">
      <c r="A312" s="39" t="s">
        <v>145</v>
      </c>
      <c r="B312" s="14" t="s">
        <v>145</v>
      </c>
      <c r="C312" s="14" t="s">
        <v>145</v>
      </c>
      <c r="D312" s="14" t="s">
        <v>145</v>
      </c>
      <c r="E312" s="14" t="s">
        <v>145</v>
      </c>
      <c r="F312" s="39" t="s">
        <v>145</v>
      </c>
      <c r="G312" s="14" t="s">
        <v>145</v>
      </c>
      <c r="H312" s="14" t="s">
        <v>145</v>
      </c>
      <c r="I312" s="14" t="s">
        <v>145</v>
      </c>
      <c r="J312" s="14" t="s">
        <v>145</v>
      </c>
      <c r="K312" s="14" t="s">
        <v>145</v>
      </c>
      <c r="L312" s="14" t="s">
        <v>145</v>
      </c>
      <c r="M312" s="14" t="s">
        <v>145</v>
      </c>
      <c r="N312" s="41" t="s">
        <v>145</v>
      </c>
    </row>
    <row r="313" spans="1:14" x14ac:dyDescent="0.3">
      <c r="A313" s="39" t="s">
        <v>145</v>
      </c>
      <c r="B313" s="14" t="s">
        <v>145</v>
      </c>
      <c r="C313" s="14" t="s">
        <v>145</v>
      </c>
      <c r="D313" s="14" t="s">
        <v>145</v>
      </c>
      <c r="E313" s="14" t="s">
        <v>145</v>
      </c>
      <c r="F313" s="39" t="s">
        <v>145</v>
      </c>
      <c r="G313" s="14" t="s">
        <v>145</v>
      </c>
      <c r="H313" s="14" t="s">
        <v>145</v>
      </c>
      <c r="I313" s="14" t="s">
        <v>145</v>
      </c>
      <c r="J313" s="14" t="s">
        <v>145</v>
      </c>
      <c r="K313" s="14" t="s">
        <v>145</v>
      </c>
      <c r="L313" s="14" t="s">
        <v>145</v>
      </c>
      <c r="M313" s="14" t="s">
        <v>145</v>
      </c>
      <c r="N313" s="41" t="s">
        <v>145</v>
      </c>
    </row>
    <row r="314" spans="1:14" x14ac:dyDescent="0.3">
      <c r="A314" s="39" t="s">
        <v>145</v>
      </c>
      <c r="B314" s="14" t="s">
        <v>145</v>
      </c>
      <c r="C314" s="14" t="s">
        <v>145</v>
      </c>
      <c r="D314" s="14" t="s">
        <v>145</v>
      </c>
      <c r="E314" s="14" t="s">
        <v>145</v>
      </c>
      <c r="F314" s="39" t="s">
        <v>145</v>
      </c>
      <c r="G314" s="14" t="s">
        <v>145</v>
      </c>
      <c r="H314" s="14" t="s">
        <v>145</v>
      </c>
      <c r="I314" s="14" t="s">
        <v>145</v>
      </c>
      <c r="J314" s="14" t="s">
        <v>145</v>
      </c>
      <c r="K314" s="14" t="s">
        <v>145</v>
      </c>
      <c r="L314" s="14" t="s">
        <v>145</v>
      </c>
      <c r="M314" s="14" t="s">
        <v>145</v>
      </c>
      <c r="N314" s="41" t="s">
        <v>145</v>
      </c>
    </row>
    <row r="315" spans="1:14" x14ac:dyDescent="0.3">
      <c r="A315" s="39" t="s">
        <v>145</v>
      </c>
      <c r="B315" s="14" t="s">
        <v>145</v>
      </c>
      <c r="C315" s="14" t="s">
        <v>145</v>
      </c>
      <c r="D315" s="14" t="s">
        <v>145</v>
      </c>
      <c r="E315" s="14" t="s">
        <v>145</v>
      </c>
      <c r="F315" s="39" t="s">
        <v>145</v>
      </c>
      <c r="G315" s="14" t="s">
        <v>145</v>
      </c>
      <c r="H315" s="14" t="s">
        <v>145</v>
      </c>
      <c r="I315" s="14" t="s">
        <v>145</v>
      </c>
      <c r="J315" s="14" t="s">
        <v>145</v>
      </c>
      <c r="K315" s="14" t="s">
        <v>145</v>
      </c>
      <c r="L315" s="14" t="s">
        <v>145</v>
      </c>
      <c r="M315" s="14" t="s">
        <v>145</v>
      </c>
      <c r="N315" s="41" t="s">
        <v>145</v>
      </c>
    </row>
    <row r="316" spans="1:14" x14ac:dyDescent="0.3">
      <c r="A316" s="39" t="s">
        <v>145</v>
      </c>
      <c r="B316" s="14" t="s">
        <v>145</v>
      </c>
      <c r="C316" s="14" t="s">
        <v>145</v>
      </c>
      <c r="D316" s="14" t="s">
        <v>145</v>
      </c>
      <c r="E316" s="14" t="s">
        <v>145</v>
      </c>
      <c r="F316" s="39" t="s">
        <v>145</v>
      </c>
      <c r="G316" s="14" t="s">
        <v>145</v>
      </c>
      <c r="H316" s="14" t="s">
        <v>145</v>
      </c>
      <c r="I316" s="14" t="s">
        <v>145</v>
      </c>
      <c r="J316" s="14" t="s">
        <v>145</v>
      </c>
      <c r="K316" s="14" t="s">
        <v>145</v>
      </c>
      <c r="L316" s="14" t="s">
        <v>145</v>
      </c>
      <c r="M316" s="14" t="s">
        <v>145</v>
      </c>
      <c r="N316" s="41" t="s">
        <v>145</v>
      </c>
    </row>
    <row r="317" spans="1:14" x14ac:dyDescent="0.3">
      <c r="A317" s="39" t="s">
        <v>145</v>
      </c>
      <c r="B317" s="14" t="s">
        <v>145</v>
      </c>
      <c r="C317" s="14" t="s">
        <v>145</v>
      </c>
      <c r="D317" s="14" t="s">
        <v>145</v>
      </c>
      <c r="E317" s="14" t="s">
        <v>145</v>
      </c>
      <c r="F317" s="39" t="s">
        <v>145</v>
      </c>
      <c r="G317" s="14" t="s">
        <v>145</v>
      </c>
      <c r="H317" s="14" t="s">
        <v>145</v>
      </c>
      <c r="I317" s="14" t="s">
        <v>145</v>
      </c>
      <c r="J317" s="14" t="s">
        <v>145</v>
      </c>
      <c r="K317" s="14" t="s">
        <v>145</v>
      </c>
      <c r="L317" s="14" t="s">
        <v>145</v>
      </c>
      <c r="M317" s="14" t="s">
        <v>145</v>
      </c>
      <c r="N317" s="41" t="s">
        <v>145</v>
      </c>
    </row>
    <row r="318" spans="1:14" x14ac:dyDescent="0.3">
      <c r="A318" s="39" t="s">
        <v>145</v>
      </c>
      <c r="B318" s="14" t="s">
        <v>145</v>
      </c>
      <c r="C318" s="14" t="s">
        <v>145</v>
      </c>
      <c r="D318" s="14" t="s">
        <v>145</v>
      </c>
      <c r="E318" s="14" t="s">
        <v>145</v>
      </c>
      <c r="F318" s="39" t="s">
        <v>145</v>
      </c>
      <c r="G318" s="14" t="s">
        <v>145</v>
      </c>
      <c r="H318" s="14" t="s">
        <v>145</v>
      </c>
      <c r="I318" s="14" t="s">
        <v>145</v>
      </c>
      <c r="J318" s="14" t="s">
        <v>145</v>
      </c>
      <c r="K318" s="14" t="s">
        <v>145</v>
      </c>
      <c r="L318" s="14" t="s">
        <v>145</v>
      </c>
      <c r="M318" s="14" t="s">
        <v>145</v>
      </c>
      <c r="N318" s="41" t="s">
        <v>145</v>
      </c>
    </row>
    <row r="319" spans="1:14" x14ac:dyDescent="0.3">
      <c r="A319" s="39" t="s">
        <v>145</v>
      </c>
      <c r="B319" s="14" t="s">
        <v>145</v>
      </c>
      <c r="C319" s="14" t="s">
        <v>145</v>
      </c>
      <c r="D319" s="14" t="s">
        <v>145</v>
      </c>
      <c r="E319" s="14" t="s">
        <v>145</v>
      </c>
      <c r="F319" s="39" t="s">
        <v>145</v>
      </c>
      <c r="G319" s="14" t="s">
        <v>145</v>
      </c>
      <c r="H319" s="14" t="s">
        <v>145</v>
      </c>
      <c r="I319" s="14" t="s">
        <v>145</v>
      </c>
      <c r="J319" s="14" t="s">
        <v>145</v>
      </c>
      <c r="K319" s="14" t="s">
        <v>145</v>
      </c>
      <c r="L319" s="14" t="s">
        <v>145</v>
      </c>
      <c r="M319" s="14" t="s">
        <v>145</v>
      </c>
      <c r="N319" s="41" t="s">
        <v>145</v>
      </c>
    </row>
    <row r="320" spans="1:14" x14ac:dyDescent="0.3">
      <c r="A320" s="39" t="s">
        <v>145</v>
      </c>
      <c r="B320" s="14" t="s">
        <v>145</v>
      </c>
      <c r="C320" s="14" t="s">
        <v>145</v>
      </c>
      <c r="D320" s="14" t="s">
        <v>145</v>
      </c>
      <c r="E320" s="14" t="s">
        <v>145</v>
      </c>
      <c r="F320" s="39" t="s">
        <v>145</v>
      </c>
      <c r="G320" s="14" t="s">
        <v>145</v>
      </c>
      <c r="H320" s="14" t="s">
        <v>145</v>
      </c>
      <c r="I320" s="14" t="s">
        <v>145</v>
      </c>
      <c r="J320" s="14" t="s">
        <v>145</v>
      </c>
      <c r="K320" s="14" t="s">
        <v>145</v>
      </c>
      <c r="L320" s="14" t="s">
        <v>145</v>
      </c>
      <c r="M320" s="14" t="s">
        <v>145</v>
      </c>
      <c r="N320" s="41" t="s">
        <v>145</v>
      </c>
    </row>
    <row r="321" spans="1:14" x14ac:dyDescent="0.3">
      <c r="A321" s="39" t="s">
        <v>145</v>
      </c>
      <c r="B321" s="14" t="s">
        <v>145</v>
      </c>
      <c r="C321" s="14" t="s">
        <v>145</v>
      </c>
      <c r="D321" s="14" t="s">
        <v>145</v>
      </c>
      <c r="E321" s="14" t="s">
        <v>145</v>
      </c>
      <c r="F321" s="39" t="s">
        <v>145</v>
      </c>
      <c r="G321" s="14" t="s">
        <v>145</v>
      </c>
      <c r="H321" s="14" t="s">
        <v>145</v>
      </c>
      <c r="I321" s="14" t="s">
        <v>145</v>
      </c>
      <c r="J321" s="14" t="s">
        <v>145</v>
      </c>
      <c r="K321" s="14" t="s">
        <v>145</v>
      </c>
      <c r="L321" s="14" t="s">
        <v>145</v>
      </c>
      <c r="M321" s="14" t="s">
        <v>145</v>
      </c>
      <c r="N321" s="41" t="s">
        <v>145</v>
      </c>
    </row>
    <row r="322" spans="1:14" x14ac:dyDescent="0.3">
      <c r="A322" s="39" t="s">
        <v>145</v>
      </c>
      <c r="B322" s="14" t="s">
        <v>145</v>
      </c>
      <c r="C322" s="14" t="s">
        <v>145</v>
      </c>
      <c r="D322" s="14" t="s">
        <v>145</v>
      </c>
      <c r="E322" s="14" t="s">
        <v>145</v>
      </c>
      <c r="F322" s="39" t="s">
        <v>145</v>
      </c>
      <c r="G322" s="14" t="s">
        <v>145</v>
      </c>
      <c r="H322" s="14" t="s">
        <v>145</v>
      </c>
      <c r="I322" s="14" t="s">
        <v>145</v>
      </c>
      <c r="J322" s="14" t="s">
        <v>145</v>
      </c>
      <c r="K322" s="14" t="s">
        <v>145</v>
      </c>
      <c r="L322" s="14" t="s">
        <v>145</v>
      </c>
      <c r="M322" s="14" t="s">
        <v>145</v>
      </c>
      <c r="N322" s="41" t="s">
        <v>145</v>
      </c>
    </row>
    <row r="323" spans="1:14" x14ac:dyDescent="0.3">
      <c r="A323" s="39" t="s">
        <v>145</v>
      </c>
      <c r="B323" s="14" t="s">
        <v>145</v>
      </c>
      <c r="C323" s="14" t="s">
        <v>145</v>
      </c>
      <c r="D323" s="14" t="s">
        <v>145</v>
      </c>
      <c r="E323" s="14" t="s">
        <v>145</v>
      </c>
      <c r="F323" s="39" t="s">
        <v>145</v>
      </c>
      <c r="G323" s="14" t="s">
        <v>145</v>
      </c>
      <c r="H323" s="14" t="s">
        <v>145</v>
      </c>
      <c r="I323" s="14" t="s">
        <v>145</v>
      </c>
      <c r="J323" s="14" t="s">
        <v>145</v>
      </c>
      <c r="K323" s="14" t="s">
        <v>145</v>
      </c>
      <c r="L323" s="14" t="s">
        <v>145</v>
      </c>
      <c r="M323" s="14" t="s">
        <v>145</v>
      </c>
      <c r="N323" s="41" t="s">
        <v>145</v>
      </c>
    </row>
    <row r="324" spans="1:14" x14ac:dyDescent="0.3">
      <c r="A324" s="39" t="s">
        <v>145</v>
      </c>
      <c r="B324" s="14" t="s">
        <v>145</v>
      </c>
      <c r="C324" s="14" t="s">
        <v>145</v>
      </c>
      <c r="D324" s="14" t="s">
        <v>145</v>
      </c>
      <c r="E324" s="14" t="s">
        <v>145</v>
      </c>
      <c r="F324" s="39" t="s">
        <v>145</v>
      </c>
      <c r="G324" s="14" t="s">
        <v>145</v>
      </c>
      <c r="H324" s="14" t="s">
        <v>145</v>
      </c>
      <c r="I324" s="14" t="s">
        <v>145</v>
      </c>
      <c r="J324" s="14" t="s">
        <v>145</v>
      </c>
      <c r="K324" s="14" t="s">
        <v>145</v>
      </c>
      <c r="L324" s="14" t="s">
        <v>145</v>
      </c>
      <c r="M324" s="14" t="s">
        <v>145</v>
      </c>
      <c r="N324" s="41" t="s">
        <v>145</v>
      </c>
    </row>
    <row r="325" spans="1:14" x14ac:dyDescent="0.3">
      <c r="A325" s="39" t="s">
        <v>145</v>
      </c>
      <c r="B325" s="14" t="s">
        <v>145</v>
      </c>
      <c r="C325" s="14" t="s">
        <v>145</v>
      </c>
      <c r="D325" s="14" t="s">
        <v>145</v>
      </c>
      <c r="E325" s="14" t="s">
        <v>145</v>
      </c>
      <c r="F325" s="39" t="s">
        <v>145</v>
      </c>
      <c r="G325" s="14" t="s">
        <v>145</v>
      </c>
      <c r="H325" s="14" t="s">
        <v>145</v>
      </c>
      <c r="I325" s="14" t="s">
        <v>145</v>
      </c>
      <c r="J325" s="14" t="s">
        <v>145</v>
      </c>
      <c r="K325" s="14" t="s">
        <v>145</v>
      </c>
      <c r="L325" s="14" t="s">
        <v>145</v>
      </c>
      <c r="M325" s="14" t="s">
        <v>145</v>
      </c>
      <c r="N325" s="41" t="s">
        <v>145</v>
      </c>
    </row>
    <row r="326" spans="1:14" x14ac:dyDescent="0.3">
      <c r="A326" s="39" t="s">
        <v>145</v>
      </c>
      <c r="B326" s="14" t="s">
        <v>145</v>
      </c>
      <c r="C326" s="14" t="s">
        <v>145</v>
      </c>
      <c r="D326" s="14" t="s">
        <v>145</v>
      </c>
      <c r="E326" s="14" t="s">
        <v>145</v>
      </c>
      <c r="F326" s="39" t="s">
        <v>145</v>
      </c>
      <c r="G326" s="14" t="s">
        <v>145</v>
      </c>
      <c r="H326" s="14" t="s">
        <v>145</v>
      </c>
      <c r="I326" s="14" t="s">
        <v>145</v>
      </c>
      <c r="J326" s="14" t="s">
        <v>145</v>
      </c>
      <c r="K326" s="14" t="s">
        <v>145</v>
      </c>
      <c r="L326" s="14" t="s">
        <v>145</v>
      </c>
      <c r="M326" s="14" t="s">
        <v>145</v>
      </c>
      <c r="N326" s="41" t="s">
        <v>145</v>
      </c>
    </row>
    <row r="327" spans="1:14" x14ac:dyDescent="0.3">
      <c r="A327" s="39" t="s">
        <v>145</v>
      </c>
      <c r="B327" s="14" t="s">
        <v>145</v>
      </c>
      <c r="C327" s="14" t="s">
        <v>145</v>
      </c>
      <c r="D327" s="14" t="s">
        <v>145</v>
      </c>
      <c r="E327" s="14" t="s">
        <v>145</v>
      </c>
      <c r="F327" s="39" t="s">
        <v>145</v>
      </c>
      <c r="G327" s="14" t="s">
        <v>145</v>
      </c>
      <c r="H327" s="14" t="s">
        <v>145</v>
      </c>
      <c r="I327" s="14" t="s">
        <v>145</v>
      </c>
      <c r="J327" s="14" t="s">
        <v>145</v>
      </c>
      <c r="K327" s="14" t="s">
        <v>145</v>
      </c>
      <c r="L327" s="14" t="s">
        <v>145</v>
      </c>
      <c r="M327" s="14" t="s">
        <v>145</v>
      </c>
      <c r="N327" s="41" t="s">
        <v>145</v>
      </c>
    </row>
    <row r="328" spans="1:14" x14ac:dyDescent="0.3">
      <c r="A328" s="39" t="s">
        <v>145</v>
      </c>
      <c r="B328" s="14" t="s">
        <v>145</v>
      </c>
      <c r="C328" s="14" t="s">
        <v>145</v>
      </c>
      <c r="D328" s="14" t="s">
        <v>145</v>
      </c>
      <c r="E328" s="14" t="s">
        <v>145</v>
      </c>
      <c r="F328" s="39" t="s">
        <v>145</v>
      </c>
      <c r="G328" s="14" t="s">
        <v>145</v>
      </c>
      <c r="H328" s="14" t="s">
        <v>145</v>
      </c>
      <c r="I328" s="14" t="s">
        <v>145</v>
      </c>
      <c r="J328" s="14" t="s">
        <v>145</v>
      </c>
      <c r="K328" s="14" t="s">
        <v>145</v>
      </c>
      <c r="L328" s="14" t="s">
        <v>145</v>
      </c>
      <c r="M328" s="14" t="s">
        <v>145</v>
      </c>
      <c r="N328" s="41" t="s">
        <v>145</v>
      </c>
    </row>
    <row r="329" spans="1:14" x14ac:dyDescent="0.3">
      <c r="A329" s="39" t="s">
        <v>145</v>
      </c>
      <c r="B329" s="14" t="s">
        <v>145</v>
      </c>
      <c r="C329" s="14" t="s">
        <v>145</v>
      </c>
      <c r="D329" s="14" t="s">
        <v>145</v>
      </c>
      <c r="E329" s="14" t="s">
        <v>145</v>
      </c>
      <c r="F329" s="39" t="s">
        <v>145</v>
      </c>
      <c r="G329" s="14" t="s">
        <v>145</v>
      </c>
      <c r="H329" s="14" t="s">
        <v>145</v>
      </c>
      <c r="I329" s="14" t="s">
        <v>145</v>
      </c>
      <c r="J329" s="14" t="s">
        <v>145</v>
      </c>
      <c r="K329" s="14" t="s">
        <v>145</v>
      </c>
      <c r="L329" s="14" t="s">
        <v>145</v>
      </c>
      <c r="M329" s="14" t="s">
        <v>145</v>
      </c>
      <c r="N329" s="41" t="s">
        <v>145</v>
      </c>
    </row>
    <row r="330" spans="1:14" x14ac:dyDescent="0.3">
      <c r="A330" s="39" t="s">
        <v>145</v>
      </c>
      <c r="B330" s="14" t="s">
        <v>145</v>
      </c>
      <c r="C330" s="14" t="s">
        <v>145</v>
      </c>
      <c r="D330" s="14" t="s">
        <v>145</v>
      </c>
      <c r="E330" s="14" t="s">
        <v>145</v>
      </c>
      <c r="F330" s="39" t="s">
        <v>145</v>
      </c>
      <c r="G330" s="14" t="s">
        <v>145</v>
      </c>
      <c r="H330" s="14" t="s">
        <v>145</v>
      </c>
      <c r="I330" s="14" t="s">
        <v>145</v>
      </c>
      <c r="J330" s="14" t="s">
        <v>145</v>
      </c>
      <c r="K330" s="14" t="s">
        <v>145</v>
      </c>
      <c r="L330" s="14" t="s">
        <v>145</v>
      </c>
      <c r="M330" s="14" t="s">
        <v>145</v>
      </c>
      <c r="N330" s="41" t="s">
        <v>145</v>
      </c>
    </row>
    <row r="331" spans="1:14" x14ac:dyDescent="0.3">
      <c r="A331" s="39" t="s">
        <v>145</v>
      </c>
      <c r="B331" s="14" t="s">
        <v>145</v>
      </c>
      <c r="C331" s="14" t="s">
        <v>145</v>
      </c>
      <c r="D331" s="14" t="s">
        <v>145</v>
      </c>
      <c r="E331" s="14" t="s">
        <v>145</v>
      </c>
      <c r="F331" s="39" t="s">
        <v>145</v>
      </c>
      <c r="G331" s="14" t="s">
        <v>145</v>
      </c>
      <c r="H331" s="14" t="s">
        <v>145</v>
      </c>
      <c r="I331" s="14" t="s">
        <v>145</v>
      </c>
      <c r="J331" s="14" t="s">
        <v>145</v>
      </c>
      <c r="K331" s="14" t="s">
        <v>145</v>
      </c>
      <c r="L331" s="14" t="s">
        <v>145</v>
      </c>
      <c r="M331" s="14" t="s">
        <v>145</v>
      </c>
      <c r="N331" s="41" t="s">
        <v>145</v>
      </c>
    </row>
    <row r="332" spans="1:14" x14ac:dyDescent="0.3">
      <c r="A332" s="39" t="s">
        <v>145</v>
      </c>
      <c r="B332" s="14" t="s">
        <v>145</v>
      </c>
      <c r="C332" s="14" t="s">
        <v>145</v>
      </c>
      <c r="D332" s="14" t="s">
        <v>145</v>
      </c>
      <c r="E332" s="14" t="s">
        <v>145</v>
      </c>
      <c r="F332" s="39" t="s">
        <v>145</v>
      </c>
      <c r="G332" s="14" t="s">
        <v>145</v>
      </c>
      <c r="H332" s="14" t="s">
        <v>145</v>
      </c>
      <c r="I332" s="14" t="s">
        <v>145</v>
      </c>
      <c r="J332" s="14" t="s">
        <v>145</v>
      </c>
      <c r="K332" s="14" t="s">
        <v>145</v>
      </c>
      <c r="L332" s="14" t="s">
        <v>145</v>
      </c>
      <c r="M332" s="14" t="s">
        <v>145</v>
      </c>
      <c r="N332" s="41" t="s">
        <v>145</v>
      </c>
    </row>
    <row r="333" spans="1:14" x14ac:dyDescent="0.3">
      <c r="A333" s="39" t="s">
        <v>145</v>
      </c>
      <c r="B333" s="14" t="s">
        <v>145</v>
      </c>
      <c r="C333" s="14" t="s">
        <v>145</v>
      </c>
      <c r="D333" s="14" t="s">
        <v>145</v>
      </c>
      <c r="E333" s="14" t="s">
        <v>145</v>
      </c>
      <c r="F333" s="39" t="s">
        <v>145</v>
      </c>
      <c r="G333" s="14" t="s">
        <v>145</v>
      </c>
      <c r="H333" s="14" t="s">
        <v>145</v>
      </c>
      <c r="I333" s="14" t="s">
        <v>145</v>
      </c>
      <c r="J333" s="14" t="s">
        <v>145</v>
      </c>
      <c r="K333" s="14" t="s">
        <v>145</v>
      </c>
      <c r="L333" s="14" t="s">
        <v>145</v>
      </c>
      <c r="M333" s="14" t="s">
        <v>145</v>
      </c>
      <c r="N333" s="41" t="s">
        <v>145</v>
      </c>
    </row>
    <row r="334" spans="1:14" x14ac:dyDescent="0.3">
      <c r="A334" s="39" t="s">
        <v>145</v>
      </c>
      <c r="B334" s="14" t="s">
        <v>145</v>
      </c>
      <c r="C334" s="14" t="s">
        <v>145</v>
      </c>
      <c r="D334" s="14" t="s">
        <v>145</v>
      </c>
      <c r="E334" s="14" t="s">
        <v>145</v>
      </c>
      <c r="F334" s="39" t="s">
        <v>145</v>
      </c>
      <c r="G334" s="14" t="s">
        <v>145</v>
      </c>
      <c r="H334" s="14" t="s">
        <v>145</v>
      </c>
      <c r="I334" s="14" t="s">
        <v>145</v>
      </c>
      <c r="J334" s="14" t="s">
        <v>145</v>
      </c>
      <c r="K334" s="14" t="s">
        <v>145</v>
      </c>
      <c r="L334" s="14" t="s">
        <v>145</v>
      </c>
      <c r="M334" s="14" t="s">
        <v>145</v>
      </c>
      <c r="N334" s="41" t="s">
        <v>145</v>
      </c>
    </row>
    <row r="335" spans="1:14" x14ac:dyDescent="0.3">
      <c r="A335" s="39" t="s">
        <v>145</v>
      </c>
      <c r="B335" s="14" t="s">
        <v>145</v>
      </c>
      <c r="C335" s="14" t="s">
        <v>145</v>
      </c>
      <c r="D335" s="14" t="s">
        <v>145</v>
      </c>
      <c r="E335" s="14" t="s">
        <v>145</v>
      </c>
      <c r="F335" s="39" t="s">
        <v>145</v>
      </c>
      <c r="G335" s="14" t="s">
        <v>145</v>
      </c>
      <c r="H335" s="14" t="s">
        <v>145</v>
      </c>
      <c r="I335" s="14" t="s">
        <v>145</v>
      </c>
      <c r="J335" s="14" t="s">
        <v>145</v>
      </c>
      <c r="K335" s="14" t="s">
        <v>145</v>
      </c>
      <c r="L335" s="14" t="s">
        <v>145</v>
      </c>
      <c r="M335" s="14" t="s">
        <v>145</v>
      </c>
      <c r="N335" s="41" t="s">
        <v>145</v>
      </c>
    </row>
    <row r="336" spans="1:14" x14ac:dyDescent="0.3">
      <c r="A336" s="39" t="s">
        <v>145</v>
      </c>
      <c r="B336" s="14" t="s">
        <v>145</v>
      </c>
      <c r="C336" s="14" t="s">
        <v>145</v>
      </c>
      <c r="D336" s="14" t="s">
        <v>145</v>
      </c>
      <c r="E336" s="14" t="s">
        <v>145</v>
      </c>
      <c r="F336" s="39" t="s">
        <v>145</v>
      </c>
      <c r="G336" s="14" t="s">
        <v>145</v>
      </c>
      <c r="H336" s="14" t="s">
        <v>145</v>
      </c>
      <c r="I336" s="14" t="s">
        <v>145</v>
      </c>
      <c r="J336" s="14" t="s">
        <v>145</v>
      </c>
      <c r="K336" s="14" t="s">
        <v>145</v>
      </c>
      <c r="L336" s="14" t="s">
        <v>145</v>
      </c>
      <c r="M336" s="14" t="s">
        <v>145</v>
      </c>
      <c r="N336" s="41" t="s">
        <v>145</v>
      </c>
    </row>
    <row r="337" spans="1:14" x14ac:dyDescent="0.3">
      <c r="A337" s="39" t="s">
        <v>145</v>
      </c>
      <c r="B337" s="14" t="s">
        <v>145</v>
      </c>
      <c r="C337" s="14" t="s">
        <v>145</v>
      </c>
      <c r="D337" s="14" t="s">
        <v>145</v>
      </c>
      <c r="E337" s="14" t="s">
        <v>145</v>
      </c>
      <c r="F337" s="39" t="s">
        <v>145</v>
      </c>
      <c r="G337" s="14" t="s">
        <v>145</v>
      </c>
      <c r="H337" s="14" t="s">
        <v>145</v>
      </c>
      <c r="I337" s="14" t="s">
        <v>145</v>
      </c>
      <c r="J337" s="14" t="s">
        <v>145</v>
      </c>
      <c r="K337" s="14" t="s">
        <v>145</v>
      </c>
      <c r="L337" s="14" t="s">
        <v>145</v>
      </c>
      <c r="M337" s="14" t="s">
        <v>145</v>
      </c>
      <c r="N337" s="41" t="s">
        <v>145</v>
      </c>
    </row>
    <row r="338" spans="1:14" x14ac:dyDescent="0.3">
      <c r="A338" s="39" t="s">
        <v>145</v>
      </c>
      <c r="B338" s="14" t="s">
        <v>145</v>
      </c>
      <c r="C338" s="14" t="s">
        <v>145</v>
      </c>
      <c r="D338" s="14" t="s">
        <v>145</v>
      </c>
      <c r="E338" s="14" t="s">
        <v>145</v>
      </c>
      <c r="F338" s="39" t="s">
        <v>145</v>
      </c>
      <c r="G338" s="14" t="s">
        <v>145</v>
      </c>
      <c r="H338" s="14" t="s">
        <v>145</v>
      </c>
      <c r="I338" s="14" t="s">
        <v>145</v>
      </c>
      <c r="J338" s="14" t="s">
        <v>145</v>
      </c>
      <c r="K338" s="14" t="s">
        <v>145</v>
      </c>
      <c r="L338" s="14" t="s">
        <v>145</v>
      </c>
      <c r="M338" s="14" t="s">
        <v>145</v>
      </c>
      <c r="N338" s="41" t="s">
        <v>145</v>
      </c>
    </row>
    <row r="339" spans="1:14" x14ac:dyDescent="0.3">
      <c r="A339" s="39" t="s">
        <v>145</v>
      </c>
      <c r="B339" s="14" t="s">
        <v>145</v>
      </c>
      <c r="C339" s="14" t="s">
        <v>145</v>
      </c>
      <c r="D339" s="14" t="s">
        <v>145</v>
      </c>
      <c r="E339" s="14" t="s">
        <v>145</v>
      </c>
      <c r="F339" s="39" t="s">
        <v>145</v>
      </c>
      <c r="G339" s="14" t="s">
        <v>145</v>
      </c>
      <c r="H339" s="14" t="s">
        <v>145</v>
      </c>
      <c r="I339" s="14" t="s">
        <v>145</v>
      </c>
      <c r="J339" s="14" t="s">
        <v>145</v>
      </c>
      <c r="K339" s="14" t="s">
        <v>145</v>
      </c>
      <c r="L339" s="14" t="s">
        <v>145</v>
      </c>
      <c r="M339" s="14" t="s">
        <v>145</v>
      </c>
      <c r="N339" s="41" t="s">
        <v>145</v>
      </c>
    </row>
    <row r="340" spans="1:14" x14ac:dyDescent="0.3">
      <c r="A340" s="39" t="s">
        <v>145</v>
      </c>
      <c r="B340" s="14" t="s">
        <v>145</v>
      </c>
      <c r="C340" s="14" t="s">
        <v>145</v>
      </c>
      <c r="D340" s="14" t="s">
        <v>145</v>
      </c>
      <c r="E340" s="14" t="s">
        <v>145</v>
      </c>
      <c r="F340" s="39" t="s">
        <v>145</v>
      </c>
      <c r="G340" s="14" t="s">
        <v>145</v>
      </c>
      <c r="H340" s="14" t="s">
        <v>145</v>
      </c>
      <c r="I340" s="14" t="s">
        <v>145</v>
      </c>
      <c r="J340" s="14" t="s">
        <v>145</v>
      </c>
      <c r="K340" s="14" t="s">
        <v>145</v>
      </c>
      <c r="L340" s="14" t="s">
        <v>145</v>
      </c>
      <c r="M340" s="14" t="s">
        <v>145</v>
      </c>
      <c r="N340" s="41" t="s">
        <v>145</v>
      </c>
    </row>
    <row r="341" spans="1:14" x14ac:dyDescent="0.3">
      <c r="A341" s="39" t="s">
        <v>145</v>
      </c>
      <c r="B341" s="14" t="s">
        <v>145</v>
      </c>
      <c r="C341" s="14" t="s">
        <v>145</v>
      </c>
      <c r="D341" s="14" t="s">
        <v>145</v>
      </c>
      <c r="E341" s="14" t="s">
        <v>145</v>
      </c>
      <c r="F341" s="39" t="s">
        <v>145</v>
      </c>
      <c r="G341" s="14" t="s">
        <v>145</v>
      </c>
      <c r="H341" s="14" t="s">
        <v>145</v>
      </c>
      <c r="I341" s="14" t="s">
        <v>145</v>
      </c>
      <c r="J341" s="14" t="s">
        <v>145</v>
      </c>
      <c r="K341" s="14" t="s">
        <v>145</v>
      </c>
      <c r="L341" s="14" t="s">
        <v>145</v>
      </c>
      <c r="M341" s="14" t="s">
        <v>145</v>
      </c>
      <c r="N341" s="41" t="s">
        <v>145</v>
      </c>
    </row>
    <row r="342" spans="1:14" x14ac:dyDescent="0.3">
      <c r="A342" s="39" t="s">
        <v>145</v>
      </c>
      <c r="B342" s="14" t="s">
        <v>145</v>
      </c>
      <c r="C342" s="14" t="s">
        <v>145</v>
      </c>
      <c r="D342" s="14" t="s">
        <v>145</v>
      </c>
      <c r="E342" s="14" t="s">
        <v>145</v>
      </c>
      <c r="F342" s="39" t="s">
        <v>145</v>
      </c>
      <c r="G342" s="14" t="s">
        <v>145</v>
      </c>
      <c r="H342" s="14" t="s">
        <v>145</v>
      </c>
      <c r="I342" s="14" t="s">
        <v>145</v>
      </c>
      <c r="J342" s="14" t="s">
        <v>145</v>
      </c>
      <c r="K342" s="14" t="s">
        <v>145</v>
      </c>
      <c r="L342" s="14" t="s">
        <v>145</v>
      </c>
      <c r="M342" s="14" t="s">
        <v>145</v>
      </c>
      <c r="N342" s="41" t="s">
        <v>145</v>
      </c>
    </row>
    <row r="343" spans="1:14" x14ac:dyDescent="0.3">
      <c r="A343" s="39" t="s">
        <v>145</v>
      </c>
      <c r="B343" s="14" t="s">
        <v>145</v>
      </c>
      <c r="C343" s="14" t="s">
        <v>145</v>
      </c>
      <c r="D343" s="14" t="s">
        <v>145</v>
      </c>
      <c r="E343" s="14" t="s">
        <v>145</v>
      </c>
      <c r="F343" s="39" t="s">
        <v>145</v>
      </c>
      <c r="G343" s="14" t="s">
        <v>145</v>
      </c>
      <c r="H343" s="14" t="s">
        <v>145</v>
      </c>
      <c r="I343" s="14" t="s">
        <v>145</v>
      </c>
      <c r="J343" s="14" t="s">
        <v>145</v>
      </c>
      <c r="K343" s="14" t="s">
        <v>145</v>
      </c>
      <c r="L343" s="14" t="s">
        <v>145</v>
      </c>
      <c r="M343" s="14" t="s">
        <v>145</v>
      </c>
      <c r="N343" s="41" t="s">
        <v>145</v>
      </c>
    </row>
    <row r="344" spans="1:14" x14ac:dyDescent="0.3">
      <c r="A344" s="39" t="s">
        <v>145</v>
      </c>
      <c r="B344" s="14" t="s">
        <v>145</v>
      </c>
      <c r="C344" s="14" t="s">
        <v>145</v>
      </c>
      <c r="D344" s="14" t="s">
        <v>145</v>
      </c>
      <c r="E344" s="14" t="s">
        <v>145</v>
      </c>
      <c r="F344" s="39" t="s">
        <v>145</v>
      </c>
      <c r="G344" s="14" t="s">
        <v>145</v>
      </c>
      <c r="H344" s="14" t="s">
        <v>145</v>
      </c>
      <c r="I344" s="14" t="s">
        <v>145</v>
      </c>
      <c r="J344" s="14" t="s">
        <v>145</v>
      </c>
      <c r="K344" s="14" t="s">
        <v>145</v>
      </c>
      <c r="L344" s="14" t="s">
        <v>145</v>
      </c>
      <c r="M344" s="14" t="s">
        <v>145</v>
      </c>
      <c r="N344" s="41" t="s">
        <v>145</v>
      </c>
    </row>
    <row r="345" spans="1:14" x14ac:dyDescent="0.3">
      <c r="A345" s="39" t="s">
        <v>145</v>
      </c>
      <c r="B345" s="14" t="s">
        <v>145</v>
      </c>
      <c r="C345" s="14" t="s">
        <v>145</v>
      </c>
      <c r="D345" s="14" t="s">
        <v>145</v>
      </c>
      <c r="E345" s="14" t="s">
        <v>145</v>
      </c>
      <c r="F345" s="39" t="s">
        <v>145</v>
      </c>
      <c r="G345" s="14" t="s">
        <v>145</v>
      </c>
      <c r="H345" s="14" t="s">
        <v>145</v>
      </c>
      <c r="I345" s="14" t="s">
        <v>145</v>
      </c>
      <c r="J345" s="14" t="s">
        <v>145</v>
      </c>
      <c r="K345" s="14" t="s">
        <v>145</v>
      </c>
      <c r="L345" s="14" t="s">
        <v>145</v>
      </c>
      <c r="M345" s="14" t="s">
        <v>145</v>
      </c>
      <c r="N345" s="41" t="s">
        <v>145</v>
      </c>
    </row>
    <row r="346" spans="1:14" x14ac:dyDescent="0.3">
      <c r="A346" s="39" t="s">
        <v>145</v>
      </c>
      <c r="B346" s="14" t="s">
        <v>145</v>
      </c>
      <c r="C346" s="14" t="s">
        <v>145</v>
      </c>
      <c r="D346" s="14" t="s">
        <v>145</v>
      </c>
      <c r="E346" s="14" t="s">
        <v>145</v>
      </c>
      <c r="F346" s="39" t="s">
        <v>145</v>
      </c>
      <c r="G346" s="14" t="s">
        <v>145</v>
      </c>
      <c r="H346" s="14" t="s">
        <v>145</v>
      </c>
      <c r="I346" s="14" t="s">
        <v>145</v>
      </c>
      <c r="J346" s="14" t="s">
        <v>145</v>
      </c>
      <c r="K346" s="14" t="s">
        <v>145</v>
      </c>
      <c r="L346" s="14" t="s">
        <v>145</v>
      </c>
      <c r="M346" s="14" t="s">
        <v>145</v>
      </c>
      <c r="N346" s="41" t="s">
        <v>145</v>
      </c>
    </row>
    <row r="347" spans="1:14" x14ac:dyDescent="0.3">
      <c r="A347" s="39" t="s">
        <v>145</v>
      </c>
      <c r="B347" s="14" t="s">
        <v>145</v>
      </c>
      <c r="C347" s="14" t="s">
        <v>145</v>
      </c>
      <c r="D347" s="14" t="s">
        <v>145</v>
      </c>
      <c r="E347" s="14" t="s">
        <v>145</v>
      </c>
      <c r="F347" s="39" t="s">
        <v>145</v>
      </c>
      <c r="G347" s="14" t="s">
        <v>145</v>
      </c>
      <c r="H347" s="14" t="s">
        <v>145</v>
      </c>
      <c r="I347" s="14" t="s">
        <v>145</v>
      </c>
      <c r="J347" s="14" t="s">
        <v>145</v>
      </c>
      <c r="K347" s="14" t="s">
        <v>145</v>
      </c>
      <c r="L347" s="14" t="s">
        <v>145</v>
      </c>
      <c r="M347" s="14" t="s">
        <v>145</v>
      </c>
      <c r="N347" s="41" t="s">
        <v>145</v>
      </c>
    </row>
    <row r="348" spans="1:14" x14ac:dyDescent="0.3">
      <c r="A348" s="39" t="s">
        <v>145</v>
      </c>
      <c r="B348" s="14" t="s">
        <v>145</v>
      </c>
      <c r="C348" s="14" t="s">
        <v>145</v>
      </c>
      <c r="D348" s="14" t="s">
        <v>145</v>
      </c>
      <c r="E348" s="14" t="s">
        <v>145</v>
      </c>
      <c r="F348" s="39" t="s">
        <v>145</v>
      </c>
      <c r="G348" s="14" t="s">
        <v>145</v>
      </c>
      <c r="H348" s="14" t="s">
        <v>145</v>
      </c>
      <c r="I348" s="14" t="s">
        <v>145</v>
      </c>
      <c r="J348" s="14" t="s">
        <v>145</v>
      </c>
      <c r="K348" s="14" t="s">
        <v>145</v>
      </c>
      <c r="L348" s="14" t="s">
        <v>145</v>
      </c>
      <c r="M348" s="14" t="s">
        <v>145</v>
      </c>
      <c r="N348" s="41" t="s">
        <v>145</v>
      </c>
    </row>
    <row r="349" spans="1:14" x14ac:dyDescent="0.3">
      <c r="A349" s="39" t="s">
        <v>145</v>
      </c>
      <c r="B349" s="14" t="s">
        <v>145</v>
      </c>
      <c r="C349" s="14" t="s">
        <v>145</v>
      </c>
      <c r="D349" s="14" t="s">
        <v>145</v>
      </c>
      <c r="E349" s="14" t="s">
        <v>145</v>
      </c>
      <c r="F349" s="39" t="s">
        <v>145</v>
      </c>
      <c r="G349" s="14" t="s">
        <v>145</v>
      </c>
      <c r="H349" s="14" t="s">
        <v>145</v>
      </c>
      <c r="I349" s="14" t="s">
        <v>145</v>
      </c>
      <c r="J349" s="14" t="s">
        <v>145</v>
      </c>
      <c r="K349" s="14" t="s">
        <v>145</v>
      </c>
      <c r="L349" s="14" t="s">
        <v>145</v>
      </c>
      <c r="M349" s="14" t="s">
        <v>145</v>
      </c>
      <c r="N349" s="41" t="s">
        <v>145</v>
      </c>
    </row>
    <row r="350" spans="1:14" x14ac:dyDescent="0.3">
      <c r="A350" s="39" t="s">
        <v>145</v>
      </c>
      <c r="B350" s="14" t="s">
        <v>145</v>
      </c>
      <c r="C350" s="14" t="s">
        <v>145</v>
      </c>
      <c r="D350" s="14" t="s">
        <v>145</v>
      </c>
      <c r="E350" s="14" t="s">
        <v>145</v>
      </c>
      <c r="F350" s="39" t="s">
        <v>145</v>
      </c>
      <c r="G350" s="14" t="s">
        <v>145</v>
      </c>
      <c r="H350" s="14" t="s">
        <v>145</v>
      </c>
      <c r="I350" s="14" t="s">
        <v>145</v>
      </c>
      <c r="J350" s="14" t="s">
        <v>145</v>
      </c>
      <c r="K350" s="14" t="s">
        <v>145</v>
      </c>
      <c r="L350" s="14" t="s">
        <v>145</v>
      </c>
      <c r="M350" s="14" t="s">
        <v>145</v>
      </c>
      <c r="N350" s="41" t="s">
        <v>145</v>
      </c>
    </row>
    <row r="351" spans="1:14" x14ac:dyDescent="0.3">
      <c r="A351" s="39" t="s">
        <v>145</v>
      </c>
      <c r="B351" s="14" t="s">
        <v>145</v>
      </c>
      <c r="C351" s="14" t="s">
        <v>145</v>
      </c>
      <c r="D351" s="14" t="s">
        <v>145</v>
      </c>
      <c r="E351" s="14" t="s">
        <v>145</v>
      </c>
      <c r="F351" s="39" t="s">
        <v>145</v>
      </c>
      <c r="G351" s="14" t="s">
        <v>145</v>
      </c>
      <c r="H351" s="14" t="s">
        <v>145</v>
      </c>
      <c r="I351" s="14" t="s">
        <v>145</v>
      </c>
      <c r="J351" s="14" t="s">
        <v>145</v>
      </c>
      <c r="K351" s="14" t="s">
        <v>145</v>
      </c>
      <c r="L351" s="14" t="s">
        <v>145</v>
      </c>
      <c r="M351" s="14" t="s">
        <v>145</v>
      </c>
      <c r="N351" s="41" t="s">
        <v>145</v>
      </c>
    </row>
    <row r="352" spans="1:14" x14ac:dyDescent="0.3">
      <c r="A352" s="39" t="s">
        <v>145</v>
      </c>
      <c r="B352" s="14" t="s">
        <v>145</v>
      </c>
      <c r="C352" s="14" t="s">
        <v>145</v>
      </c>
      <c r="D352" s="14" t="s">
        <v>145</v>
      </c>
      <c r="E352" s="14" t="s">
        <v>145</v>
      </c>
      <c r="F352" s="39" t="s">
        <v>145</v>
      </c>
      <c r="G352" s="14" t="s">
        <v>145</v>
      </c>
      <c r="H352" s="14" t="s">
        <v>145</v>
      </c>
      <c r="I352" s="14" t="s">
        <v>145</v>
      </c>
      <c r="J352" s="14" t="s">
        <v>145</v>
      </c>
      <c r="K352" s="14" t="s">
        <v>145</v>
      </c>
      <c r="L352" s="14" t="s">
        <v>145</v>
      </c>
      <c r="M352" s="14" t="s">
        <v>145</v>
      </c>
      <c r="N352" s="41" t="s">
        <v>145</v>
      </c>
    </row>
    <row r="353" spans="1:14" x14ac:dyDescent="0.3">
      <c r="A353" s="39" t="s">
        <v>145</v>
      </c>
      <c r="B353" s="14" t="s">
        <v>145</v>
      </c>
      <c r="C353" s="14" t="s">
        <v>145</v>
      </c>
      <c r="D353" s="14" t="s">
        <v>145</v>
      </c>
      <c r="E353" s="14" t="s">
        <v>145</v>
      </c>
      <c r="F353" s="39" t="s">
        <v>145</v>
      </c>
      <c r="G353" s="14" t="s">
        <v>145</v>
      </c>
      <c r="H353" s="14" t="s">
        <v>145</v>
      </c>
      <c r="I353" s="14" t="s">
        <v>145</v>
      </c>
      <c r="J353" s="14" t="s">
        <v>145</v>
      </c>
      <c r="K353" s="14" t="s">
        <v>145</v>
      </c>
      <c r="L353" s="14" t="s">
        <v>145</v>
      </c>
      <c r="M353" s="14" t="s">
        <v>145</v>
      </c>
      <c r="N353" s="41" t="s">
        <v>145</v>
      </c>
    </row>
    <row r="354" spans="1:14" x14ac:dyDescent="0.3">
      <c r="A354" s="39" t="s">
        <v>145</v>
      </c>
      <c r="B354" s="14" t="s">
        <v>145</v>
      </c>
      <c r="C354" s="14" t="s">
        <v>145</v>
      </c>
      <c r="D354" s="14" t="s">
        <v>145</v>
      </c>
      <c r="E354" s="14" t="s">
        <v>145</v>
      </c>
      <c r="F354" s="39" t="s">
        <v>145</v>
      </c>
      <c r="G354" s="14" t="s">
        <v>145</v>
      </c>
      <c r="H354" s="14" t="s">
        <v>145</v>
      </c>
      <c r="I354" s="14" t="s">
        <v>145</v>
      </c>
      <c r="J354" s="14" t="s">
        <v>145</v>
      </c>
      <c r="K354" s="14" t="s">
        <v>145</v>
      </c>
      <c r="L354" s="14" t="s">
        <v>145</v>
      </c>
      <c r="M354" s="14" t="s">
        <v>145</v>
      </c>
      <c r="N354" s="41" t="s">
        <v>145</v>
      </c>
    </row>
    <row r="355" spans="1:14" x14ac:dyDescent="0.3">
      <c r="A355" s="39" t="s">
        <v>145</v>
      </c>
      <c r="B355" s="14" t="s">
        <v>145</v>
      </c>
      <c r="C355" s="14" t="s">
        <v>145</v>
      </c>
      <c r="D355" s="14" t="s">
        <v>145</v>
      </c>
      <c r="E355" s="14" t="s">
        <v>145</v>
      </c>
      <c r="F355" s="39" t="s">
        <v>145</v>
      </c>
      <c r="G355" s="14" t="s">
        <v>145</v>
      </c>
      <c r="H355" s="14" t="s">
        <v>145</v>
      </c>
      <c r="I355" s="14" t="s">
        <v>145</v>
      </c>
      <c r="J355" s="14" t="s">
        <v>145</v>
      </c>
      <c r="K355" s="14" t="s">
        <v>145</v>
      </c>
      <c r="L355" s="14" t="s">
        <v>145</v>
      </c>
      <c r="M355" s="14" t="s">
        <v>145</v>
      </c>
      <c r="N355" s="41" t="s">
        <v>145</v>
      </c>
    </row>
    <row r="356" spans="1:14" x14ac:dyDescent="0.3">
      <c r="A356" s="39" t="s">
        <v>145</v>
      </c>
      <c r="B356" s="14" t="s">
        <v>145</v>
      </c>
      <c r="C356" s="14" t="s">
        <v>145</v>
      </c>
      <c r="D356" s="14" t="s">
        <v>145</v>
      </c>
      <c r="E356" s="14" t="s">
        <v>145</v>
      </c>
      <c r="F356" s="39" t="s">
        <v>145</v>
      </c>
      <c r="G356" s="14" t="s">
        <v>145</v>
      </c>
      <c r="H356" s="14" t="s">
        <v>145</v>
      </c>
      <c r="I356" s="14" t="s">
        <v>145</v>
      </c>
      <c r="J356" s="14" t="s">
        <v>145</v>
      </c>
      <c r="K356" s="14" t="s">
        <v>145</v>
      </c>
      <c r="L356" s="14" t="s">
        <v>145</v>
      </c>
      <c r="M356" s="14" t="s">
        <v>145</v>
      </c>
      <c r="N356" s="41" t="s">
        <v>145</v>
      </c>
    </row>
    <row r="357" spans="1:14" x14ac:dyDescent="0.3">
      <c r="A357" s="39" t="s">
        <v>145</v>
      </c>
      <c r="B357" s="14" t="s">
        <v>145</v>
      </c>
      <c r="C357" s="14" t="s">
        <v>145</v>
      </c>
      <c r="D357" s="14" t="s">
        <v>145</v>
      </c>
      <c r="E357" s="14" t="s">
        <v>145</v>
      </c>
      <c r="F357" s="39" t="s">
        <v>145</v>
      </c>
      <c r="G357" s="14" t="s">
        <v>145</v>
      </c>
      <c r="H357" s="14" t="s">
        <v>145</v>
      </c>
      <c r="I357" s="14" t="s">
        <v>145</v>
      </c>
      <c r="J357" s="14" t="s">
        <v>145</v>
      </c>
      <c r="K357" s="14" t="s">
        <v>145</v>
      </c>
      <c r="L357" s="14" t="s">
        <v>145</v>
      </c>
      <c r="M357" s="14" t="s">
        <v>145</v>
      </c>
      <c r="N357" s="41" t="s">
        <v>145</v>
      </c>
    </row>
    <row r="358" spans="1:14" x14ac:dyDescent="0.3">
      <c r="A358" s="39" t="s">
        <v>145</v>
      </c>
      <c r="B358" s="14" t="s">
        <v>145</v>
      </c>
      <c r="C358" s="14" t="s">
        <v>145</v>
      </c>
      <c r="D358" s="14" t="s">
        <v>145</v>
      </c>
      <c r="E358" s="14" t="s">
        <v>145</v>
      </c>
      <c r="F358" s="39" t="s">
        <v>145</v>
      </c>
      <c r="G358" s="14" t="s">
        <v>145</v>
      </c>
      <c r="H358" s="14" t="s">
        <v>145</v>
      </c>
      <c r="I358" s="14" t="s">
        <v>145</v>
      </c>
      <c r="J358" s="14" t="s">
        <v>145</v>
      </c>
      <c r="K358" s="14" t="s">
        <v>145</v>
      </c>
      <c r="L358" s="14" t="s">
        <v>145</v>
      </c>
      <c r="M358" s="14" t="s">
        <v>145</v>
      </c>
      <c r="N358" s="41" t="s">
        <v>145</v>
      </c>
    </row>
    <row r="359" spans="1:14" x14ac:dyDescent="0.3">
      <c r="A359" s="39" t="s">
        <v>145</v>
      </c>
      <c r="B359" s="14" t="s">
        <v>145</v>
      </c>
      <c r="C359" s="14" t="s">
        <v>145</v>
      </c>
      <c r="D359" s="14" t="s">
        <v>145</v>
      </c>
      <c r="E359" s="14" t="s">
        <v>145</v>
      </c>
      <c r="F359" s="39" t="s">
        <v>145</v>
      </c>
      <c r="G359" s="14" t="s">
        <v>145</v>
      </c>
      <c r="H359" s="14" t="s">
        <v>145</v>
      </c>
      <c r="I359" s="14" t="s">
        <v>145</v>
      </c>
      <c r="J359" s="14" t="s">
        <v>145</v>
      </c>
      <c r="K359" s="14" t="s">
        <v>145</v>
      </c>
      <c r="L359" s="14" t="s">
        <v>145</v>
      </c>
      <c r="M359" s="14" t="s">
        <v>145</v>
      </c>
      <c r="N359" s="41" t="s">
        <v>145</v>
      </c>
    </row>
    <row r="360" spans="1:14" x14ac:dyDescent="0.3">
      <c r="A360" s="39" t="s">
        <v>145</v>
      </c>
      <c r="B360" s="14" t="s">
        <v>145</v>
      </c>
      <c r="C360" s="14" t="s">
        <v>145</v>
      </c>
      <c r="D360" s="14" t="s">
        <v>145</v>
      </c>
      <c r="E360" s="14" t="s">
        <v>145</v>
      </c>
      <c r="F360" s="39" t="s">
        <v>145</v>
      </c>
      <c r="G360" s="14" t="s">
        <v>145</v>
      </c>
      <c r="H360" s="14" t="s">
        <v>145</v>
      </c>
      <c r="I360" s="14" t="s">
        <v>145</v>
      </c>
      <c r="J360" s="14" t="s">
        <v>145</v>
      </c>
      <c r="K360" s="14" t="s">
        <v>145</v>
      </c>
      <c r="L360" s="14" t="s">
        <v>145</v>
      </c>
      <c r="M360" s="14" t="s">
        <v>145</v>
      </c>
      <c r="N360" s="41" t="s">
        <v>145</v>
      </c>
    </row>
    <row r="361" spans="1:14" x14ac:dyDescent="0.3">
      <c r="A361" s="39" t="s">
        <v>145</v>
      </c>
      <c r="B361" s="14" t="s">
        <v>145</v>
      </c>
      <c r="C361" s="14" t="s">
        <v>145</v>
      </c>
      <c r="D361" s="14" t="s">
        <v>145</v>
      </c>
      <c r="E361" s="14" t="s">
        <v>145</v>
      </c>
      <c r="F361" s="39" t="s">
        <v>145</v>
      </c>
      <c r="G361" s="14" t="s">
        <v>145</v>
      </c>
      <c r="H361" s="14" t="s">
        <v>145</v>
      </c>
      <c r="I361" s="14" t="s">
        <v>145</v>
      </c>
      <c r="J361" s="14" t="s">
        <v>145</v>
      </c>
      <c r="K361" s="14" t="s">
        <v>145</v>
      </c>
      <c r="L361" s="14" t="s">
        <v>145</v>
      </c>
      <c r="M361" s="14" t="s">
        <v>145</v>
      </c>
      <c r="N361" s="41" t="s">
        <v>145</v>
      </c>
    </row>
    <row r="362" spans="1:14" x14ac:dyDescent="0.3">
      <c r="A362" s="39" t="s">
        <v>145</v>
      </c>
      <c r="B362" s="14" t="s">
        <v>145</v>
      </c>
      <c r="C362" s="14" t="s">
        <v>145</v>
      </c>
      <c r="D362" s="14" t="s">
        <v>145</v>
      </c>
      <c r="E362" s="14" t="s">
        <v>145</v>
      </c>
      <c r="F362" s="39" t="s">
        <v>145</v>
      </c>
      <c r="G362" s="14" t="s">
        <v>145</v>
      </c>
      <c r="H362" s="14" t="s">
        <v>145</v>
      </c>
      <c r="I362" s="14" t="s">
        <v>145</v>
      </c>
      <c r="J362" s="14" t="s">
        <v>145</v>
      </c>
      <c r="K362" s="14" t="s">
        <v>145</v>
      </c>
      <c r="L362" s="14" t="s">
        <v>145</v>
      </c>
      <c r="M362" s="14" t="s">
        <v>145</v>
      </c>
      <c r="N362" s="41" t="s">
        <v>145</v>
      </c>
    </row>
    <row r="363" spans="1:14" x14ac:dyDescent="0.3">
      <c r="A363" s="39" t="s">
        <v>145</v>
      </c>
      <c r="B363" s="14" t="s">
        <v>145</v>
      </c>
      <c r="C363" s="14" t="s">
        <v>145</v>
      </c>
      <c r="D363" s="14" t="s">
        <v>145</v>
      </c>
      <c r="E363" s="14" t="s">
        <v>145</v>
      </c>
      <c r="F363" s="39" t="s">
        <v>145</v>
      </c>
      <c r="G363" s="14" t="s">
        <v>145</v>
      </c>
      <c r="H363" s="14" t="s">
        <v>145</v>
      </c>
      <c r="I363" s="14" t="s">
        <v>145</v>
      </c>
      <c r="J363" s="14" t="s">
        <v>145</v>
      </c>
      <c r="K363" s="14" t="s">
        <v>145</v>
      </c>
      <c r="L363" s="14" t="s">
        <v>145</v>
      </c>
      <c r="M363" s="14" t="s">
        <v>145</v>
      </c>
      <c r="N363" s="41" t="s">
        <v>145</v>
      </c>
    </row>
    <row r="364" spans="1:14" x14ac:dyDescent="0.3">
      <c r="A364" s="39" t="s">
        <v>145</v>
      </c>
      <c r="B364" s="14" t="s">
        <v>145</v>
      </c>
      <c r="C364" s="14" t="s">
        <v>145</v>
      </c>
      <c r="D364" s="14" t="s">
        <v>145</v>
      </c>
      <c r="E364" s="14" t="s">
        <v>145</v>
      </c>
      <c r="F364" s="39" t="s">
        <v>145</v>
      </c>
      <c r="G364" s="14" t="s">
        <v>145</v>
      </c>
      <c r="H364" s="14" t="s">
        <v>145</v>
      </c>
      <c r="I364" s="14" t="s">
        <v>145</v>
      </c>
      <c r="J364" s="14" t="s">
        <v>145</v>
      </c>
      <c r="K364" s="14" t="s">
        <v>145</v>
      </c>
      <c r="L364" s="14" t="s">
        <v>145</v>
      </c>
      <c r="M364" s="14" t="s">
        <v>145</v>
      </c>
      <c r="N364" s="41" t="s">
        <v>145</v>
      </c>
    </row>
    <row r="365" spans="1:14" x14ac:dyDescent="0.3">
      <c r="A365" s="39" t="s">
        <v>145</v>
      </c>
      <c r="B365" s="14" t="s">
        <v>145</v>
      </c>
      <c r="C365" s="14" t="s">
        <v>145</v>
      </c>
      <c r="D365" s="14" t="s">
        <v>145</v>
      </c>
      <c r="E365" s="14" t="s">
        <v>145</v>
      </c>
      <c r="F365" s="39" t="s">
        <v>145</v>
      </c>
      <c r="G365" s="14" t="s">
        <v>145</v>
      </c>
      <c r="H365" s="14" t="s">
        <v>145</v>
      </c>
      <c r="I365" s="14" t="s">
        <v>145</v>
      </c>
      <c r="J365" s="14" t="s">
        <v>145</v>
      </c>
      <c r="K365" s="14" t="s">
        <v>145</v>
      </c>
      <c r="L365" s="14" t="s">
        <v>145</v>
      </c>
      <c r="M365" s="14" t="s">
        <v>145</v>
      </c>
      <c r="N365" s="41" t="s">
        <v>145</v>
      </c>
    </row>
    <row r="366" spans="1:14" x14ac:dyDescent="0.3">
      <c r="A366" s="39" t="s">
        <v>145</v>
      </c>
      <c r="B366" s="14" t="s">
        <v>145</v>
      </c>
      <c r="C366" s="14" t="s">
        <v>145</v>
      </c>
      <c r="D366" s="14" t="s">
        <v>145</v>
      </c>
      <c r="E366" s="14" t="s">
        <v>145</v>
      </c>
      <c r="F366" s="39" t="s">
        <v>145</v>
      </c>
      <c r="G366" s="14" t="s">
        <v>145</v>
      </c>
      <c r="H366" s="14" t="s">
        <v>145</v>
      </c>
      <c r="I366" s="14" t="s">
        <v>145</v>
      </c>
      <c r="J366" s="14" t="s">
        <v>145</v>
      </c>
      <c r="K366" s="14" t="s">
        <v>145</v>
      </c>
      <c r="L366" s="14" t="s">
        <v>145</v>
      </c>
      <c r="M366" s="14" t="s">
        <v>145</v>
      </c>
      <c r="N366" s="41" t="s">
        <v>145</v>
      </c>
    </row>
    <row r="367" spans="1:14" x14ac:dyDescent="0.3">
      <c r="A367" s="39" t="s">
        <v>145</v>
      </c>
      <c r="B367" s="14" t="s">
        <v>145</v>
      </c>
      <c r="C367" s="14" t="s">
        <v>145</v>
      </c>
      <c r="D367" s="14" t="s">
        <v>145</v>
      </c>
      <c r="E367" s="14" t="s">
        <v>145</v>
      </c>
      <c r="F367" s="39" t="s">
        <v>145</v>
      </c>
      <c r="G367" s="14" t="s">
        <v>145</v>
      </c>
      <c r="H367" s="14" t="s">
        <v>145</v>
      </c>
      <c r="I367" s="14" t="s">
        <v>145</v>
      </c>
      <c r="J367" s="14" t="s">
        <v>145</v>
      </c>
      <c r="K367" s="14" t="s">
        <v>145</v>
      </c>
      <c r="L367" s="14" t="s">
        <v>145</v>
      </c>
      <c r="M367" s="14" t="s">
        <v>145</v>
      </c>
      <c r="N367" s="41" t="s">
        <v>145</v>
      </c>
    </row>
    <row r="368" spans="1:14" x14ac:dyDescent="0.3">
      <c r="A368" s="39" t="s">
        <v>145</v>
      </c>
      <c r="B368" s="14" t="s">
        <v>145</v>
      </c>
      <c r="C368" s="14" t="s">
        <v>145</v>
      </c>
      <c r="D368" s="14" t="s">
        <v>145</v>
      </c>
      <c r="E368" s="14" t="s">
        <v>145</v>
      </c>
      <c r="F368" s="39" t="s">
        <v>145</v>
      </c>
      <c r="G368" s="14" t="s">
        <v>145</v>
      </c>
      <c r="H368" s="14" t="s">
        <v>145</v>
      </c>
      <c r="I368" s="14" t="s">
        <v>145</v>
      </c>
      <c r="J368" s="14" t="s">
        <v>145</v>
      </c>
      <c r="K368" s="14" t="s">
        <v>145</v>
      </c>
      <c r="L368" s="14" t="s">
        <v>145</v>
      </c>
      <c r="M368" s="14" t="s">
        <v>145</v>
      </c>
      <c r="N368" s="41" t="s">
        <v>145</v>
      </c>
    </row>
    <row r="369" spans="1:14" x14ac:dyDescent="0.3">
      <c r="A369" s="39" t="s">
        <v>145</v>
      </c>
      <c r="B369" s="14" t="s">
        <v>145</v>
      </c>
      <c r="C369" s="14" t="s">
        <v>145</v>
      </c>
      <c r="D369" s="14" t="s">
        <v>145</v>
      </c>
      <c r="E369" s="14" t="s">
        <v>145</v>
      </c>
      <c r="F369" s="39" t="s">
        <v>145</v>
      </c>
      <c r="G369" s="14" t="s">
        <v>145</v>
      </c>
      <c r="H369" s="14" t="s">
        <v>145</v>
      </c>
      <c r="I369" s="14" t="s">
        <v>145</v>
      </c>
      <c r="J369" s="14" t="s">
        <v>145</v>
      </c>
      <c r="K369" s="14" t="s">
        <v>145</v>
      </c>
      <c r="L369" s="14" t="s">
        <v>145</v>
      </c>
      <c r="M369" s="14" t="s">
        <v>145</v>
      </c>
      <c r="N369" s="41" t="s">
        <v>145</v>
      </c>
    </row>
    <row r="370" spans="1:14" x14ac:dyDescent="0.3">
      <c r="A370" s="39" t="s">
        <v>145</v>
      </c>
      <c r="B370" s="14" t="s">
        <v>145</v>
      </c>
      <c r="C370" s="14" t="s">
        <v>145</v>
      </c>
      <c r="D370" s="14" t="s">
        <v>145</v>
      </c>
      <c r="E370" s="14" t="s">
        <v>145</v>
      </c>
      <c r="F370" s="39" t="s">
        <v>145</v>
      </c>
      <c r="G370" s="14" t="s">
        <v>145</v>
      </c>
      <c r="H370" s="14" t="s">
        <v>145</v>
      </c>
      <c r="I370" s="14" t="s">
        <v>145</v>
      </c>
      <c r="J370" s="14" t="s">
        <v>145</v>
      </c>
      <c r="K370" s="14" t="s">
        <v>145</v>
      </c>
      <c r="L370" s="14" t="s">
        <v>145</v>
      </c>
      <c r="M370" s="14" t="s">
        <v>145</v>
      </c>
      <c r="N370" s="41" t="s">
        <v>145</v>
      </c>
    </row>
    <row r="371" spans="1:14" x14ac:dyDescent="0.3">
      <c r="A371" s="39" t="s">
        <v>145</v>
      </c>
      <c r="B371" s="14" t="s">
        <v>145</v>
      </c>
      <c r="C371" s="14" t="s">
        <v>145</v>
      </c>
      <c r="D371" s="14" t="s">
        <v>145</v>
      </c>
      <c r="E371" s="14" t="s">
        <v>145</v>
      </c>
      <c r="F371" s="39" t="s">
        <v>145</v>
      </c>
      <c r="G371" s="14" t="s">
        <v>145</v>
      </c>
      <c r="H371" s="14" t="s">
        <v>145</v>
      </c>
      <c r="I371" s="14" t="s">
        <v>145</v>
      </c>
      <c r="J371" s="14" t="s">
        <v>145</v>
      </c>
      <c r="K371" s="14" t="s">
        <v>145</v>
      </c>
      <c r="L371" s="14" t="s">
        <v>145</v>
      </c>
      <c r="M371" s="14" t="s">
        <v>145</v>
      </c>
      <c r="N371" s="41" t="s">
        <v>145</v>
      </c>
    </row>
    <row r="372" spans="1:14" x14ac:dyDescent="0.3">
      <c r="A372" s="39" t="s">
        <v>145</v>
      </c>
      <c r="B372" s="14" t="s">
        <v>145</v>
      </c>
      <c r="C372" s="14" t="s">
        <v>145</v>
      </c>
      <c r="D372" s="14" t="s">
        <v>145</v>
      </c>
      <c r="E372" s="14" t="s">
        <v>145</v>
      </c>
      <c r="F372" s="39" t="s">
        <v>145</v>
      </c>
      <c r="G372" s="14" t="s">
        <v>145</v>
      </c>
      <c r="H372" s="14" t="s">
        <v>145</v>
      </c>
      <c r="I372" s="14" t="s">
        <v>145</v>
      </c>
      <c r="J372" s="14" t="s">
        <v>145</v>
      </c>
      <c r="K372" s="14" t="s">
        <v>145</v>
      </c>
      <c r="L372" s="14" t="s">
        <v>145</v>
      </c>
      <c r="M372" s="14" t="s">
        <v>145</v>
      </c>
      <c r="N372" s="41" t="s">
        <v>145</v>
      </c>
    </row>
    <row r="373" spans="1:14" x14ac:dyDescent="0.3">
      <c r="A373" s="39" t="s">
        <v>145</v>
      </c>
      <c r="B373" s="14" t="s">
        <v>145</v>
      </c>
      <c r="C373" s="14" t="s">
        <v>145</v>
      </c>
      <c r="D373" s="14" t="s">
        <v>145</v>
      </c>
      <c r="E373" s="14" t="s">
        <v>145</v>
      </c>
      <c r="F373" s="39" t="s">
        <v>145</v>
      </c>
      <c r="G373" s="14" t="s">
        <v>145</v>
      </c>
      <c r="H373" s="14" t="s">
        <v>145</v>
      </c>
      <c r="I373" s="14" t="s">
        <v>145</v>
      </c>
      <c r="J373" s="14" t="s">
        <v>145</v>
      </c>
      <c r="K373" s="14" t="s">
        <v>145</v>
      </c>
      <c r="L373" s="14" t="s">
        <v>145</v>
      </c>
      <c r="M373" s="14" t="s">
        <v>145</v>
      </c>
      <c r="N373" s="41" t="s">
        <v>145</v>
      </c>
    </row>
    <row r="374" spans="1:14" x14ac:dyDescent="0.3">
      <c r="A374" s="39" t="s">
        <v>145</v>
      </c>
      <c r="B374" s="14" t="s">
        <v>145</v>
      </c>
      <c r="C374" s="14" t="s">
        <v>145</v>
      </c>
      <c r="D374" s="14" t="s">
        <v>145</v>
      </c>
      <c r="E374" s="14" t="s">
        <v>145</v>
      </c>
      <c r="F374" s="39" t="s">
        <v>145</v>
      </c>
      <c r="G374" s="14" t="s">
        <v>145</v>
      </c>
      <c r="H374" s="14" t="s">
        <v>145</v>
      </c>
      <c r="I374" s="14" t="s">
        <v>145</v>
      </c>
      <c r="J374" s="14" t="s">
        <v>145</v>
      </c>
      <c r="K374" s="14" t="s">
        <v>145</v>
      </c>
      <c r="L374" s="14" t="s">
        <v>145</v>
      </c>
      <c r="M374" s="14" t="s">
        <v>145</v>
      </c>
      <c r="N374" s="41" t="s">
        <v>145</v>
      </c>
    </row>
    <row r="375" spans="1:14" x14ac:dyDescent="0.3">
      <c r="A375" s="39" t="s">
        <v>145</v>
      </c>
      <c r="B375" s="14" t="s">
        <v>145</v>
      </c>
      <c r="C375" s="14" t="s">
        <v>145</v>
      </c>
      <c r="D375" s="14" t="s">
        <v>145</v>
      </c>
      <c r="E375" s="14" t="s">
        <v>145</v>
      </c>
      <c r="F375" s="39" t="s">
        <v>145</v>
      </c>
      <c r="G375" s="14" t="s">
        <v>145</v>
      </c>
      <c r="H375" s="14" t="s">
        <v>145</v>
      </c>
      <c r="I375" s="14" t="s">
        <v>145</v>
      </c>
      <c r="J375" s="14" t="s">
        <v>145</v>
      </c>
      <c r="K375" s="14" t="s">
        <v>145</v>
      </c>
      <c r="L375" s="14" t="s">
        <v>145</v>
      </c>
      <c r="M375" s="14" t="s">
        <v>145</v>
      </c>
      <c r="N375" s="41" t="s">
        <v>145</v>
      </c>
    </row>
    <row r="376" spans="1:14" x14ac:dyDescent="0.3">
      <c r="A376" s="39" t="s">
        <v>145</v>
      </c>
      <c r="B376" s="14" t="s">
        <v>145</v>
      </c>
      <c r="C376" s="14" t="s">
        <v>145</v>
      </c>
      <c r="D376" s="14" t="s">
        <v>145</v>
      </c>
      <c r="E376" s="14" t="s">
        <v>145</v>
      </c>
      <c r="F376" s="39" t="s">
        <v>145</v>
      </c>
      <c r="G376" s="14" t="s">
        <v>145</v>
      </c>
      <c r="H376" s="14" t="s">
        <v>145</v>
      </c>
      <c r="I376" s="14" t="s">
        <v>145</v>
      </c>
      <c r="J376" s="14" t="s">
        <v>145</v>
      </c>
      <c r="K376" s="14" t="s">
        <v>145</v>
      </c>
      <c r="L376" s="14" t="s">
        <v>145</v>
      </c>
      <c r="M376" s="14" t="s">
        <v>145</v>
      </c>
      <c r="N376" s="41" t="s">
        <v>145</v>
      </c>
    </row>
    <row r="377" spans="1:14" x14ac:dyDescent="0.3">
      <c r="A377" s="39" t="s">
        <v>145</v>
      </c>
      <c r="B377" s="14" t="s">
        <v>145</v>
      </c>
      <c r="C377" s="14" t="s">
        <v>145</v>
      </c>
      <c r="D377" s="14" t="s">
        <v>145</v>
      </c>
      <c r="E377" s="14" t="s">
        <v>145</v>
      </c>
      <c r="F377" s="39" t="s">
        <v>145</v>
      </c>
      <c r="G377" s="14" t="s">
        <v>145</v>
      </c>
      <c r="H377" s="14" t="s">
        <v>145</v>
      </c>
      <c r="I377" s="14" t="s">
        <v>145</v>
      </c>
      <c r="J377" s="14" t="s">
        <v>145</v>
      </c>
      <c r="K377" s="14" t="s">
        <v>145</v>
      </c>
      <c r="L377" s="14" t="s">
        <v>145</v>
      </c>
      <c r="M377" s="14" t="s">
        <v>145</v>
      </c>
      <c r="N377" s="41" t="s">
        <v>145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374"/>
  <sheetViews>
    <sheetView topLeftCell="A13" workbookViewId="0">
      <selection activeCell="J2" sqref="J2"/>
    </sheetView>
  </sheetViews>
  <sheetFormatPr defaultColWidth="9.140625" defaultRowHeight="18.75" x14ac:dyDescent="0.3"/>
  <cols>
    <col min="1" max="2" width="9.140625" style="14"/>
    <col min="3" max="3" width="9.28515625" style="14" bestFit="1" customWidth="1"/>
    <col min="4" max="5" width="9.140625" style="14"/>
    <col min="6" max="6" width="12" style="14" bestFit="1" customWidth="1"/>
    <col min="7" max="9" width="9.140625" style="14"/>
    <col min="10" max="10" width="9.28515625" style="14" bestFit="1" customWidth="1"/>
    <col min="11" max="16" width="9.140625" style="14"/>
    <col min="17" max="16384" width="9.140625" style="1"/>
  </cols>
  <sheetData>
    <row r="1" spans="1:13" x14ac:dyDescent="0.3">
      <c r="A1" s="16" t="s">
        <v>46</v>
      </c>
      <c r="B1" s="16" t="s">
        <v>8</v>
      </c>
      <c r="C1" s="16" t="s">
        <v>9</v>
      </c>
      <c r="D1" s="16" t="s">
        <v>48</v>
      </c>
      <c r="E1" s="16" t="s">
        <v>11</v>
      </c>
      <c r="F1" s="16" t="s">
        <v>12</v>
      </c>
      <c r="G1" s="16" t="s">
        <v>23</v>
      </c>
      <c r="H1" s="16" t="s">
        <v>14</v>
      </c>
      <c r="I1" s="16" t="s">
        <v>24</v>
      </c>
      <c r="J1" s="16" t="s">
        <v>47</v>
      </c>
      <c r="K1" s="16" t="s">
        <v>33</v>
      </c>
      <c r="L1" s="16" t="s">
        <v>32</v>
      </c>
      <c r="M1" s="16" t="s">
        <v>25</v>
      </c>
    </row>
    <row r="2" spans="1:13" x14ac:dyDescent="0.3">
      <c r="G2" s="22" t="s">
        <v>185</v>
      </c>
    </row>
    <row r="3" spans="1:13" x14ac:dyDescent="0.3">
      <c r="A3" s="16" t="s">
        <v>46</v>
      </c>
      <c r="B3" s="16" t="s">
        <v>8</v>
      </c>
      <c r="C3" s="16" t="s">
        <v>9</v>
      </c>
      <c r="D3" s="16" t="s">
        <v>48</v>
      </c>
      <c r="E3" s="16" t="s">
        <v>11</v>
      </c>
      <c r="F3" s="16" t="s">
        <v>12</v>
      </c>
      <c r="G3" s="16" t="s">
        <v>23</v>
      </c>
      <c r="H3" s="16" t="s">
        <v>14</v>
      </c>
      <c r="I3" s="16" t="s">
        <v>24</v>
      </c>
      <c r="J3" s="16" t="s">
        <v>47</v>
      </c>
      <c r="K3" s="16" t="s">
        <v>33</v>
      </c>
      <c r="L3" s="16" t="s">
        <v>32</v>
      </c>
      <c r="M3" s="16" t="s">
        <v>25</v>
      </c>
    </row>
    <row r="4" spans="1:13" x14ac:dyDescent="0.3">
      <c r="A4" s="39"/>
      <c r="F4" s="39"/>
      <c r="G4" s="22"/>
    </row>
    <row r="5" spans="1:13" x14ac:dyDescent="0.3">
      <c r="A5" s="39"/>
      <c r="F5" s="39"/>
      <c r="G5" s="22"/>
    </row>
    <row r="6" spans="1:13" x14ac:dyDescent="0.3">
      <c r="A6" s="39"/>
      <c r="F6" s="39"/>
      <c r="G6" s="22"/>
    </row>
    <row r="7" spans="1:13" x14ac:dyDescent="0.3">
      <c r="A7" s="39"/>
      <c r="F7" s="39"/>
      <c r="G7" s="22"/>
    </row>
    <row r="8" spans="1:13" x14ac:dyDescent="0.3">
      <c r="A8" s="39"/>
      <c r="F8" s="39"/>
      <c r="G8" s="22"/>
    </row>
    <row r="9" spans="1:13" x14ac:dyDescent="0.3">
      <c r="A9" s="39"/>
      <c r="F9" s="39"/>
      <c r="G9" s="22"/>
    </row>
    <row r="10" spans="1:13" x14ac:dyDescent="0.3">
      <c r="A10" s="39"/>
      <c r="F10" s="39"/>
      <c r="G10" s="22"/>
    </row>
    <row r="11" spans="1:13" x14ac:dyDescent="0.3">
      <c r="A11" s="39"/>
      <c r="F11" s="39"/>
      <c r="G11" s="22"/>
    </row>
    <row r="12" spans="1:13" x14ac:dyDescent="0.3">
      <c r="A12" s="39"/>
      <c r="F12" s="39"/>
      <c r="G12" s="22"/>
    </row>
    <row r="13" spans="1:13" x14ac:dyDescent="0.3">
      <c r="A13" s="39"/>
      <c r="F13" s="39"/>
      <c r="G13" s="22"/>
    </row>
    <row r="14" spans="1:13" x14ac:dyDescent="0.3">
      <c r="A14" s="39"/>
      <c r="F14" s="39"/>
      <c r="G14" s="22"/>
    </row>
    <row r="15" spans="1:13" x14ac:dyDescent="0.3">
      <c r="A15" s="39"/>
      <c r="F15" s="39"/>
      <c r="G15" s="22"/>
    </row>
    <row r="16" spans="1:13" x14ac:dyDescent="0.3">
      <c r="A16" s="39"/>
      <c r="F16" s="39"/>
      <c r="G16" s="22"/>
    </row>
    <row r="17" spans="1:7" x14ac:dyDescent="0.3">
      <c r="A17" s="39"/>
      <c r="F17" s="39"/>
      <c r="G17" s="22"/>
    </row>
    <row r="18" spans="1:7" x14ac:dyDescent="0.3">
      <c r="A18" s="39"/>
      <c r="F18" s="39"/>
      <c r="G18" s="22"/>
    </row>
    <row r="19" spans="1:7" x14ac:dyDescent="0.3">
      <c r="A19" s="39"/>
      <c r="F19" s="39"/>
      <c r="G19" s="22"/>
    </row>
    <row r="20" spans="1:7" x14ac:dyDescent="0.3">
      <c r="A20" s="39"/>
      <c r="F20" s="39"/>
      <c r="G20" s="22"/>
    </row>
    <row r="21" spans="1:7" x14ac:dyDescent="0.3">
      <c r="A21" s="39"/>
      <c r="F21" s="39"/>
      <c r="G21" s="22"/>
    </row>
    <row r="22" spans="1:7" x14ac:dyDescent="0.3">
      <c r="A22" s="39"/>
      <c r="F22" s="39"/>
    </row>
    <row r="23" spans="1:7" x14ac:dyDescent="0.3">
      <c r="A23" s="39"/>
      <c r="F23" s="39"/>
    </row>
    <row r="24" spans="1:7" x14ac:dyDescent="0.3">
      <c r="A24" s="39"/>
      <c r="F24" s="39"/>
    </row>
    <row r="25" spans="1:7" x14ac:dyDescent="0.3">
      <c r="A25" s="39"/>
      <c r="F25" s="39"/>
    </row>
    <row r="26" spans="1:7" x14ac:dyDescent="0.3">
      <c r="A26" s="39"/>
      <c r="F26" s="39"/>
    </row>
    <row r="27" spans="1:7" x14ac:dyDescent="0.3">
      <c r="A27" s="39"/>
      <c r="F27" s="39"/>
    </row>
    <row r="28" spans="1:7" x14ac:dyDescent="0.3">
      <c r="A28" s="39"/>
      <c r="F28" s="39"/>
    </row>
    <row r="29" spans="1:7" x14ac:dyDescent="0.3">
      <c r="A29" s="39"/>
      <c r="F29" s="39"/>
    </row>
    <row r="30" spans="1:7" x14ac:dyDescent="0.3">
      <c r="A30" s="39"/>
      <c r="F30" s="39"/>
    </row>
    <row r="31" spans="1:7" x14ac:dyDescent="0.3">
      <c r="A31" s="39"/>
      <c r="F31" s="39"/>
    </row>
    <row r="32" spans="1:7" x14ac:dyDescent="0.3">
      <c r="A32" s="39"/>
      <c r="F32" s="39"/>
    </row>
    <row r="33" spans="1:6" x14ac:dyDescent="0.3">
      <c r="A33" s="39"/>
      <c r="F33" s="39"/>
    </row>
    <row r="34" spans="1:6" x14ac:dyDescent="0.3">
      <c r="A34" s="39"/>
      <c r="F34" s="39"/>
    </row>
    <row r="35" spans="1:6" x14ac:dyDescent="0.3">
      <c r="A35" s="39"/>
      <c r="F35" s="39"/>
    </row>
    <row r="36" spans="1:6" x14ac:dyDescent="0.3">
      <c r="A36" s="39"/>
      <c r="F36" s="39"/>
    </row>
    <row r="37" spans="1:6" x14ac:dyDescent="0.3">
      <c r="A37" s="39"/>
      <c r="F37" s="39"/>
    </row>
    <row r="38" spans="1:6" x14ac:dyDescent="0.3">
      <c r="A38" s="39"/>
      <c r="F38" s="39"/>
    </row>
    <row r="39" spans="1:6" x14ac:dyDescent="0.3">
      <c r="A39" s="39"/>
      <c r="F39" s="39"/>
    </row>
    <row r="40" spans="1:6" x14ac:dyDescent="0.3">
      <c r="A40" s="39"/>
      <c r="F40" s="39"/>
    </row>
    <row r="41" spans="1:6" x14ac:dyDescent="0.3">
      <c r="A41" s="39"/>
      <c r="F41" s="39"/>
    </row>
    <row r="42" spans="1:6" x14ac:dyDescent="0.3">
      <c r="A42" s="39"/>
      <c r="F42" s="39"/>
    </row>
    <row r="43" spans="1:6" x14ac:dyDescent="0.3">
      <c r="A43" s="39"/>
      <c r="F43" s="39"/>
    </row>
    <row r="44" spans="1:6" x14ac:dyDescent="0.3">
      <c r="A44" s="39"/>
      <c r="F44" s="39"/>
    </row>
    <row r="45" spans="1:6" x14ac:dyDescent="0.3">
      <c r="A45" s="39"/>
      <c r="F45" s="39"/>
    </row>
    <row r="46" spans="1:6" x14ac:dyDescent="0.3">
      <c r="A46" s="39"/>
      <c r="F46" s="39"/>
    </row>
    <row r="47" spans="1:6" x14ac:dyDescent="0.3">
      <c r="A47" s="39"/>
      <c r="F47" s="39"/>
    </row>
    <row r="48" spans="1:6" x14ac:dyDescent="0.3">
      <c r="A48" s="39"/>
      <c r="F48" s="39"/>
    </row>
    <row r="49" spans="1:6" x14ac:dyDescent="0.3">
      <c r="A49" s="39"/>
      <c r="F49" s="39"/>
    </row>
    <row r="50" spans="1:6" x14ac:dyDescent="0.3">
      <c r="A50" s="39"/>
      <c r="F50" s="39"/>
    </row>
    <row r="51" spans="1:6" x14ac:dyDescent="0.3">
      <c r="A51" s="39"/>
      <c r="F51" s="39"/>
    </row>
    <row r="52" spans="1:6" x14ac:dyDescent="0.3">
      <c r="A52" s="39"/>
      <c r="F52" s="39"/>
    </row>
    <row r="53" spans="1:6" x14ac:dyDescent="0.3">
      <c r="A53" s="39"/>
      <c r="F53" s="39"/>
    </row>
    <row r="54" spans="1:6" x14ac:dyDescent="0.3">
      <c r="A54" s="39"/>
      <c r="F54" s="39"/>
    </row>
    <row r="55" spans="1:6" x14ac:dyDescent="0.3">
      <c r="A55" s="39"/>
      <c r="F55" s="39"/>
    </row>
    <row r="56" spans="1:6" x14ac:dyDescent="0.3">
      <c r="A56" s="39"/>
      <c r="F56" s="39"/>
    </row>
    <row r="57" spans="1:6" x14ac:dyDescent="0.3">
      <c r="A57" s="39"/>
      <c r="F57" s="39"/>
    </row>
    <row r="58" spans="1:6" x14ac:dyDescent="0.3">
      <c r="A58" s="39"/>
      <c r="F58" s="39"/>
    </row>
    <row r="59" spans="1:6" x14ac:dyDescent="0.3">
      <c r="A59" s="39"/>
      <c r="F59" s="39"/>
    </row>
    <row r="60" spans="1:6" x14ac:dyDescent="0.3">
      <c r="A60" s="39"/>
      <c r="F60" s="39"/>
    </row>
    <row r="61" spans="1:6" x14ac:dyDescent="0.3">
      <c r="A61" s="39"/>
      <c r="F61" s="39"/>
    </row>
    <row r="62" spans="1:6" x14ac:dyDescent="0.3">
      <c r="A62" s="39"/>
      <c r="F62" s="39"/>
    </row>
    <row r="63" spans="1:6" x14ac:dyDescent="0.3">
      <c r="A63" s="39"/>
      <c r="F63" s="39"/>
    </row>
    <row r="64" spans="1:6" x14ac:dyDescent="0.3">
      <c r="A64" s="39"/>
      <c r="F64" s="39"/>
    </row>
    <row r="65" spans="1:6" x14ac:dyDescent="0.3">
      <c r="A65" s="39"/>
      <c r="F65" s="39"/>
    </row>
    <row r="66" spans="1:6" x14ac:dyDescent="0.3">
      <c r="A66" s="39"/>
      <c r="F66" s="39"/>
    </row>
    <row r="67" spans="1:6" x14ac:dyDescent="0.3">
      <c r="A67" s="39"/>
      <c r="F67" s="39"/>
    </row>
    <row r="68" spans="1:6" x14ac:dyDescent="0.3">
      <c r="A68" s="39"/>
      <c r="F68" s="39"/>
    </row>
    <row r="69" spans="1:6" x14ac:dyDescent="0.3">
      <c r="A69" s="39"/>
      <c r="F69" s="39"/>
    </row>
    <row r="70" spans="1:6" x14ac:dyDescent="0.3">
      <c r="A70" s="39"/>
      <c r="F70" s="39"/>
    </row>
    <row r="71" spans="1:6" x14ac:dyDescent="0.3">
      <c r="A71" s="39"/>
      <c r="F71" s="39"/>
    </row>
    <row r="72" spans="1:6" x14ac:dyDescent="0.3">
      <c r="A72" s="39"/>
      <c r="F72" s="39"/>
    </row>
    <row r="73" spans="1:6" x14ac:dyDescent="0.3">
      <c r="A73" s="39"/>
      <c r="F73" s="39"/>
    </row>
    <row r="74" spans="1:6" x14ac:dyDescent="0.3">
      <c r="A74" s="39"/>
      <c r="F74" s="39"/>
    </row>
    <row r="75" spans="1:6" x14ac:dyDescent="0.3">
      <c r="A75" s="39"/>
      <c r="F75" s="39"/>
    </row>
    <row r="76" spans="1:6" x14ac:dyDescent="0.3">
      <c r="A76" s="39"/>
      <c r="F76" s="39"/>
    </row>
    <row r="77" spans="1:6" x14ac:dyDescent="0.3">
      <c r="A77" s="39"/>
      <c r="F77" s="39"/>
    </row>
    <row r="78" spans="1:6" x14ac:dyDescent="0.3">
      <c r="A78" s="39"/>
      <c r="F78" s="39"/>
    </row>
    <row r="79" spans="1:6" x14ac:dyDescent="0.3">
      <c r="A79" s="39"/>
      <c r="F79" s="39"/>
    </row>
    <row r="80" spans="1:6" x14ac:dyDescent="0.3">
      <c r="A80" s="39"/>
      <c r="F80" s="39"/>
    </row>
    <row r="81" spans="1:6" x14ac:dyDescent="0.3">
      <c r="A81" s="39"/>
      <c r="F81" s="39"/>
    </row>
    <row r="82" spans="1:6" x14ac:dyDescent="0.3">
      <c r="A82" s="39"/>
      <c r="F82" s="39"/>
    </row>
    <row r="83" spans="1:6" x14ac:dyDescent="0.3">
      <c r="A83" s="39"/>
      <c r="F83" s="39"/>
    </row>
    <row r="84" spans="1:6" x14ac:dyDescent="0.3">
      <c r="A84" s="39"/>
      <c r="F84" s="39"/>
    </row>
    <row r="85" spans="1:6" x14ac:dyDescent="0.3">
      <c r="A85" s="39"/>
      <c r="F85" s="39"/>
    </row>
    <row r="86" spans="1:6" x14ac:dyDescent="0.3">
      <c r="A86" s="39"/>
      <c r="F86" s="39"/>
    </row>
    <row r="87" spans="1:6" x14ac:dyDescent="0.3">
      <c r="A87" s="39"/>
      <c r="F87" s="39"/>
    </row>
    <row r="88" spans="1:6" x14ac:dyDescent="0.3">
      <c r="A88" s="39"/>
      <c r="F88" s="39"/>
    </row>
    <row r="89" spans="1:6" x14ac:dyDescent="0.3">
      <c r="A89" s="39"/>
      <c r="F89" s="39"/>
    </row>
    <row r="90" spans="1:6" x14ac:dyDescent="0.3">
      <c r="A90" s="39"/>
      <c r="F90" s="39"/>
    </row>
    <row r="91" spans="1:6" x14ac:dyDescent="0.3">
      <c r="A91" s="39"/>
      <c r="F91" s="39"/>
    </row>
    <row r="92" spans="1:6" x14ac:dyDescent="0.3">
      <c r="A92" s="39"/>
      <c r="F92" s="39"/>
    </row>
    <row r="93" spans="1:6" x14ac:dyDescent="0.3">
      <c r="A93" s="39"/>
      <c r="F93" s="39"/>
    </row>
    <row r="94" spans="1:6" x14ac:dyDescent="0.3">
      <c r="A94" s="39"/>
      <c r="F94" s="39"/>
    </row>
    <row r="95" spans="1:6" x14ac:dyDescent="0.3">
      <c r="A95" s="39"/>
      <c r="F95" s="39"/>
    </row>
    <row r="96" spans="1:6" x14ac:dyDescent="0.3">
      <c r="A96" s="39"/>
      <c r="F96" s="39"/>
    </row>
    <row r="97" spans="1:6" x14ac:dyDescent="0.3">
      <c r="A97" s="39"/>
      <c r="F97" s="39"/>
    </row>
    <row r="98" spans="1:6" x14ac:dyDescent="0.3">
      <c r="A98" s="39"/>
      <c r="F98" s="39"/>
    </row>
    <row r="99" spans="1:6" x14ac:dyDescent="0.3">
      <c r="A99" s="39"/>
      <c r="F99" s="39"/>
    </row>
    <row r="100" spans="1:6" x14ac:dyDescent="0.3">
      <c r="A100" s="39"/>
      <c r="F100" s="39"/>
    </row>
    <row r="101" spans="1:6" x14ac:dyDescent="0.3">
      <c r="A101" s="39"/>
      <c r="F101" s="39"/>
    </row>
    <row r="102" spans="1:6" x14ac:dyDescent="0.3">
      <c r="A102" s="39"/>
      <c r="F102" s="39"/>
    </row>
    <row r="103" spans="1:6" x14ac:dyDescent="0.3">
      <c r="A103" s="39"/>
      <c r="F103" s="39"/>
    </row>
    <row r="104" spans="1:6" x14ac:dyDescent="0.3">
      <c r="A104" s="39"/>
      <c r="F104" s="39"/>
    </row>
    <row r="105" spans="1:6" x14ac:dyDescent="0.3">
      <c r="A105" s="39"/>
      <c r="F105" s="39"/>
    </row>
    <row r="106" spans="1:6" x14ac:dyDescent="0.3">
      <c r="A106" s="39"/>
      <c r="F106" s="39"/>
    </row>
    <row r="107" spans="1:6" x14ac:dyDescent="0.3">
      <c r="A107" s="39"/>
      <c r="F107" s="39"/>
    </row>
    <row r="108" spans="1:6" x14ac:dyDescent="0.3">
      <c r="A108" s="39"/>
      <c r="F108" s="39"/>
    </row>
    <row r="109" spans="1:6" x14ac:dyDescent="0.3">
      <c r="A109" s="39"/>
      <c r="F109" s="39"/>
    </row>
    <row r="110" spans="1:6" x14ac:dyDescent="0.3">
      <c r="A110" s="39"/>
      <c r="F110" s="39"/>
    </row>
    <row r="111" spans="1:6" x14ac:dyDescent="0.3">
      <c r="A111" s="39"/>
      <c r="F111" s="39"/>
    </row>
    <row r="112" spans="1:6" x14ac:dyDescent="0.3">
      <c r="A112" s="39"/>
      <c r="F112" s="39"/>
    </row>
    <row r="113" spans="1:6" x14ac:dyDescent="0.3">
      <c r="A113" s="39"/>
      <c r="F113" s="39"/>
    </row>
    <row r="114" spans="1:6" x14ac:dyDescent="0.3">
      <c r="A114" s="39"/>
      <c r="F114" s="39"/>
    </row>
    <row r="115" spans="1:6" x14ac:dyDescent="0.3">
      <c r="A115" s="39"/>
      <c r="F115" s="39"/>
    </row>
    <row r="116" spans="1:6" x14ac:dyDescent="0.3">
      <c r="A116" s="39"/>
      <c r="F116" s="39"/>
    </row>
    <row r="117" spans="1:6" x14ac:dyDescent="0.3">
      <c r="A117" s="39"/>
      <c r="F117" s="39"/>
    </row>
    <row r="118" spans="1:6" x14ac:dyDescent="0.3">
      <c r="A118" s="39"/>
      <c r="F118" s="39"/>
    </row>
    <row r="119" spans="1:6" x14ac:dyDescent="0.3">
      <c r="A119" s="39"/>
      <c r="F119" s="39"/>
    </row>
    <row r="120" spans="1:6" x14ac:dyDescent="0.3">
      <c r="A120" s="39"/>
      <c r="F120" s="39"/>
    </row>
    <row r="121" spans="1:6" x14ac:dyDescent="0.3">
      <c r="A121" s="39"/>
      <c r="F121" s="39"/>
    </row>
    <row r="122" spans="1:6" x14ac:dyDescent="0.3">
      <c r="A122" s="39"/>
      <c r="F122" s="39"/>
    </row>
    <row r="123" spans="1:6" x14ac:dyDescent="0.3">
      <c r="A123" s="39"/>
      <c r="F123" s="39"/>
    </row>
    <row r="124" spans="1:6" x14ac:dyDescent="0.3">
      <c r="A124" s="39"/>
      <c r="F124" s="39"/>
    </row>
    <row r="125" spans="1:6" x14ac:dyDescent="0.3">
      <c r="A125" s="39"/>
      <c r="F125" s="39"/>
    </row>
    <row r="126" spans="1:6" x14ac:dyDescent="0.3">
      <c r="A126" s="39"/>
      <c r="F126" s="39"/>
    </row>
    <row r="127" spans="1:6" x14ac:dyDescent="0.3">
      <c r="A127" s="39"/>
      <c r="F127" s="39"/>
    </row>
    <row r="128" spans="1:6" x14ac:dyDescent="0.3">
      <c r="A128" s="39"/>
      <c r="F128" s="39"/>
    </row>
    <row r="129" spans="1:6" x14ac:dyDescent="0.3">
      <c r="A129" s="39"/>
      <c r="F129" s="39"/>
    </row>
    <row r="130" spans="1:6" x14ac:dyDescent="0.3">
      <c r="A130" s="39"/>
      <c r="F130" s="39"/>
    </row>
    <row r="131" spans="1:6" x14ac:dyDescent="0.3">
      <c r="A131" s="39"/>
      <c r="F131" s="39"/>
    </row>
    <row r="132" spans="1:6" x14ac:dyDescent="0.3">
      <c r="A132" s="39"/>
      <c r="F132" s="39"/>
    </row>
    <row r="133" spans="1:6" x14ac:dyDescent="0.3">
      <c r="A133" s="39"/>
      <c r="F133" s="39"/>
    </row>
    <row r="134" spans="1:6" x14ac:dyDescent="0.3">
      <c r="A134" s="39"/>
      <c r="F134" s="39"/>
    </row>
    <row r="135" spans="1:6" x14ac:dyDescent="0.3">
      <c r="A135" s="39"/>
      <c r="F135" s="39"/>
    </row>
    <row r="136" spans="1:6" x14ac:dyDescent="0.3">
      <c r="A136" s="39"/>
      <c r="F136" s="39"/>
    </row>
    <row r="137" spans="1:6" x14ac:dyDescent="0.3">
      <c r="A137" s="39"/>
      <c r="F137" s="39"/>
    </row>
    <row r="138" spans="1:6" x14ac:dyDescent="0.3">
      <c r="A138" s="39"/>
      <c r="F138" s="39"/>
    </row>
    <row r="139" spans="1:6" x14ac:dyDescent="0.3">
      <c r="A139" s="39"/>
      <c r="F139" s="39"/>
    </row>
    <row r="140" spans="1:6" x14ac:dyDescent="0.3">
      <c r="A140" s="39"/>
      <c r="F140" s="39"/>
    </row>
    <row r="141" spans="1:6" x14ac:dyDescent="0.3">
      <c r="A141" s="39"/>
      <c r="F141" s="39"/>
    </row>
    <row r="142" spans="1:6" x14ac:dyDescent="0.3">
      <c r="A142" s="39"/>
      <c r="F142" s="39"/>
    </row>
    <row r="143" spans="1:6" x14ac:dyDescent="0.3">
      <c r="A143" s="39"/>
      <c r="F143" s="39"/>
    </row>
    <row r="144" spans="1:6" x14ac:dyDescent="0.3">
      <c r="A144" s="39"/>
      <c r="F144" s="39"/>
    </row>
    <row r="145" spans="1:6" x14ac:dyDescent="0.3">
      <c r="A145" s="39"/>
      <c r="F145" s="39"/>
    </row>
    <row r="146" spans="1:6" x14ac:dyDescent="0.3">
      <c r="A146" s="39"/>
      <c r="F146" s="39"/>
    </row>
    <row r="147" spans="1:6" x14ac:dyDescent="0.3">
      <c r="A147" s="39"/>
      <c r="F147" s="39"/>
    </row>
    <row r="148" spans="1:6" x14ac:dyDescent="0.3">
      <c r="A148" s="39"/>
      <c r="F148" s="39"/>
    </row>
    <row r="149" spans="1:6" x14ac:dyDescent="0.3">
      <c r="A149" s="39"/>
      <c r="F149" s="39"/>
    </row>
    <row r="150" spans="1:6" x14ac:dyDescent="0.3">
      <c r="A150" s="39"/>
      <c r="F150" s="39"/>
    </row>
    <row r="151" spans="1:6" x14ac:dyDescent="0.3">
      <c r="A151" s="39"/>
      <c r="F151" s="39"/>
    </row>
    <row r="152" spans="1:6" x14ac:dyDescent="0.3">
      <c r="A152" s="39"/>
      <c r="F152" s="39"/>
    </row>
    <row r="153" spans="1:6" x14ac:dyDescent="0.3">
      <c r="A153" s="39"/>
      <c r="F153" s="39"/>
    </row>
    <row r="154" spans="1:6" x14ac:dyDescent="0.3">
      <c r="A154" s="39"/>
      <c r="F154" s="39"/>
    </row>
    <row r="155" spans="1:6" x14ac:dyDescent="0.3">
      <c r="A155" s="39"/>
      <c r="F155" s="39"/>
    </row>
    <row r="156" spans="1:6" x14ac:dyDescent="0.3">
      <c r="A156" s="39"/>
      <c r="F156" s="39"/>
    </row>
    <row r="157" spans="1:6" x14ac:dyDescent="0.3">
      <c r="A157" s="39"/>
      <c r="F157" s="39"/>
    </row>
    <row r="158" spans="1:6" x14ac:dyDescent="0.3">
      <c r="A158" s="39"/>
      <c r="F158" s="39"/>
    </row>
    <row r="159" spans="1:6" x14ac:dyDescent="0.3">
      <c r="A159" s="39"/>
      <c r="F159" s="39"/>
    </row>
    <row r="160" spans="1:6" x14ac:dyDescent="0.3">
      <c r="A160" s="39"/>
      <c r="F160" s="39"/>
    </row>
    <row r="161" spans="1:6" x14ac:dyDescent="0.3">
      <c r="A161" s="39"/>
      <c r="F161" s="39"/>
    </row>
    <row r="162" spans="1:6" x14ac:dyDescent="0.3">
      <c r="A162" s="39"/>
      <c r="F162" s="39"/>
    </row>
    <row r="163" spans="1:6" x14ac:dyDescent="0.3">
      <c r="A163" s="39"/>
      <c r="F163" s="39"/>
    </row>
    <row r="164" spans="1:6" x14ac:dyDescent="0.3">
      <c r="A164" s="39"/>
      <c r="F164" s="39"/>
    </row>
    <row r="165" spans="1:6" x14ac:dyDescent="0.3">
      <c r="A165" s="39"/>
      <c r="F165" s="39"/>
    </row>
    <row r="166" spans="1:6" x14ac:dyDescent="0.3">
      <c r="A166" s="39"/>
      <c r="F166" s="39"/>
    </row>
    <row r="167" spans="1:6" x14ac:dyDescent="0.3">
      <c r="A167" s="39"/>
      <c r="F167" s="39"/>
    </row>
    <row r="168" spans="1:6" x14ac:dyDescent="0.3">
      <c r="A168" s="39"/>
      <c r="F168" s="39"/>
    </row>
    <row r="169" spans="1:6" x14ac:dyDescent="0.3">
      <c r="A169" s="39"/>
      <c r="F169" s="39"/>
    </row>
    <row r="170" spans="1:6" x14ac:dyDescent="0.3">
      <c r="A170" s="39"/>
      <c r="F170" s="39"/>
    </row>
    <row r="171" spans="1:6" x14ac:dyDescent="0.3">
      <c r="A171" s="39"/>
      <c r="F171" s="39"/>
    </row>
    <row r="172" spans="1:6" x14ac:dyDescent="0.3">
      <c r="A172" s="39"/>
      <c r="F172" s="39"/>
    </row>
    <row r="173" spans="1:6" x14ac:dyDescent="0.3">
      <c r="A173" s="39"/>
      <c r="F173" s="39"/>
    </row>
    <row r="174" spans="1:6" x14ac:dyDescent="0.3">
      <c r="A174" s="39"/>
      <c r="F174" s="39"/>
    </row>
    <row r="175" spans="1:6" x14ac:dyDescent="0.3">
      <c r="A175" s="39"/>
      <c r="F175" s="39"/>
    </row>
    <row r="176" spans="1:6" x14ac:dyDescent="0.3">
      <c r="A176" s="39"/>
      <c r="F176" s="39"/>
    </row>
    <row r="177" spans="1:6" x14ac:dyDescent="0.3">
      <c r="A177" s="39"/>
      <c r="F177" s="39"/>
    </row>
    <row r="178" spans="1:6" x14ac:dyDescent="0.3">
      <c r="A178" s="39"/>
      <c r="F178" s="39"/>
    </row>
    <row r="179" spans="1:6" x14ac:dyDescent="0.3">
      <c r="A179" s="39"/>
      <c r="F179" s="39"/>
    </row>
    <row r="180" spans="1:6" x14ac:dyDescent="0.3">
      <c r="A180" s="39"/>
      <c r="F180" s="39"/>
    </row>
    <row r="181" spans="1:6" x14ac:dyDescent="0.3">
      <c r="A181" s="39"/>
      <c r="F181" s="39"/>
    </row>
    <row r="182" spans="1:6" x14ac:dyDescent="0.3">
      <c r="A182" s="39"/>
      <c r="F182" s="39"/>
    </row>
    <row r="183" spans="1:6" x14ac:dyDescent="0.3">
      <c r="A183" s="39"/>
      <c r="F183" s="39"/>
    </row>
    <row r="184" spans="1:6" x14ac:dyDescent="0.3">
      <c r="A184" s="39"/>
      <c r="F184" s="39"/>
    </row>
    <row r="185" spans="1:6" x14ac:dyDescent="0.3">
      <c r="A185" s="39"/>
      <c r="F185" s="39"/>
    </row>
    <row r="186" spans="1:6" x14ac:dyDescent="0.3">
      <c r="A186" s="39"/>
      <c r="F186" s="39"/>
    </row>
    <row r="187" spans="1:6" x14ac:dyDescent="0.3">
      <c r="A187" s="39"/>
      <c r="F187" s="39"/>
    </row>
    <row r="188" spans="1:6" x14ac:dyDescent="0.3">
      <c r="A188" s="39"/>
      <c r="F188" s="39"/>
    </row>
    <row r="189" spans="1:6" x14ac:dyDescent="0.3">
      <c r="A189" s="39"/>
      <c r="F189" s="39"/>
    </row>
    <row r="190" spans="1:6" x14ac:dyDescent="0.3">
      <c r="A190" s="39"/>
      <c r="F190" s="39"/>
    </row>
    <row r="191" spans="1:6" x14ac:dyDescent="0.3">
      <c r="A191" s="39"/>
      <c r="F191" s="39"/>
    </row>
    <row r="192" spans="1:6" x14ac:dyDescent="0.3">
      <c r="A192" s="39"/>
      <c r="F192" s="39"/>
    </row>
    <row r="193" spans="1:6" x14ac:dyDescent="0.3">
      <c r="A193" s="39"/>
      <c r="F193" s="39"/>
    </row>
    <row r="194" spans="1:6" x14ac:dyDescent="0.3">
      <c r="A194" s="39"/>
      <c r="F194" s="39"/>
    </row>
    <row r="195" spans="1:6" x14ac:dyDescent="0.3">
      <c r="A195" s="39"/>
      <c r="F195" s="39"/>
    </row>
    <row r="196" spans="1:6" x14ac:dyDescent="0.3">
      <c r="A196" s="39"/>
      <c r="F196" s="39"/>
    </row>
    <row r="197" spans="1:6" x14ac:dyDescent="0.3">
      <c r="A197" s="39"/>
      <c r="F197" s="39"/>
    </row>
    <row r="198" spans="1:6" x14ac:dyDescent="0.3">
      <c r="A198" s="39"/>
      <c r="F198" s="39"/>
    </row>
    <row r="199" spans="1:6" x14ac:dyDescent="0.3">
      <c r="A199" s="39"/>
      <c r="F199" s="39"/>
    </row>
    <row r="200" spans="1:6" x14ac:dyDescent="0.3">
      <c r="A200" s="39"/>
      <c r="F200" s="39"/>
    </row>
    <row r="201" spans="1:6" x14ac:dyDescent="0.3">
      <c r="A201" s="39"/>
      <c r="F201" s="39"/>
    </row>
    <row r="202" spans="1:6" x14ac:dyDescent="0.3">
      <c r="A202" s="39"/>
      <c r="F202" s="39"/>
    </row>
    <row r="203" spans="1:6" x14ac:dyDescent="0.3">
      <c r="A203" s="39"/>
      <c r="F203" s="39"/>
    </row>
    <row r="204" spans="1:6" x14ac:dyDescent="0.3">
      <c r="A204" s="39"/>
      <c r="F204" s="39"/>
    </row>
    <row r="205" spans="1:6" x14ac:dyDescent="0.3">
      <c r="A205" s="39"/>
      <c r="F205" s="39"/>
    </row>
    <row r="206" spans="1:6" x14ac:dyDescent="0.3">
      <c r="A206" s="39"/>
      <c r="F206" s="39"/>
    </row>
    <row r="207" spans="1:6" x14ac:dyDescent="0.3">
      <c r="A207" s="39"/>
      <c r="F207" s="39"/>
    </row>
    <row r="208" spans="1:6" x14ac:dyDescent="0.3">
      <c r="A208" s="39"/>
      <c r="F208" s="39"/>
    </row>
    <row r="209" spans="1:6" x14ac:dyDescent="0.3">
      <c r="A209" s="39"/>
      <c r="F209" s="39"/>
    </row>
    <row r="210" spans="1:6" x14ac:dyDescent="0.3">
      <c r="A210" s="39"/>
      <c r="F210" s="39"/>
    </row>
    <row r="211" spans="1:6" x14ac:dyDescent="0.3">
      <c r="A211" s="39"/>
      <c r="F211" s="39"/>
    </row>
    <row r="212" spans="1:6" x14ac:dyDescent="0.3">
      <c r="A212" s="39"/>
      <c r="F212" s="39"/>
    </row>
    <row r="213" spans="1:6" x14ac:dyDescent="0.3">
      <c r="A213" s="39"/>
      <c r="F213" s="39"/>
    </row>
    <row r="214" spans="1:6" x14ac:dyDescent="0.3">
      <c r="A214" s="39"/>
      <c r="F214" s="39"/>
    </row>
    <row r="215" spans="1:6" x14ac:dyDescent="0.3">
      <c r="A215" s="39"/>
      <c r="F215" s="39"/>
    </row>
    <row r="216" spans="1:6" x14ac:dyDescent="0.3">
      <c r="A216" s="39"/>
      <c r="F216" s="39"/>
    </row>
    <row r="217" spans="1:6" x14ac:dyDescent="0.3">
      <c r="A217" s="39"/>
      <c r="F217" s="39"/>
    </row>
    <row r="218" spans="1:6" x14ac:dyDescent="0.3">
      <c r="A218" s="39"/>
      <c r="F218" s="39"/>
    </row>
    <row r="219" spans="1:6" x14ac:dyDescent="0.3">
      <c r="A219" s="39"/>
      <c r="F219" s="39"/>
    </row>
    <row r="220" spans="1:6" x14ac:dyDescent="0.3">
      <c r="A220" s="39"/>
      <c r="F220" s="39"/>
    </row>
    <row r="221" spans="1:6" x14ac:dyDescent="0.3">
      <c r="A221" s="39"/>
      <c r="F221" s="39"/>
    </row>
    <row r="222" spans="1:6" x14ac:dyDescent="0.3">
      <c r="A222" s="39"/>
      <c r="F222" s="39"/>
    </row>
    <row r="223" spans="1:6" x14ac:dyDescent="0.3">
      <c r="A223" s="39"/>
      <c r="F223" s="39"/>
    </row>
    <row r="224" spans="1:6" x14ac:dyDescent="0.3">
      <c r="A224" s="39"/>
      <c r="F224" s="39"/>
    </row>
    <row r="225" spans="1:6" x14ac:dyDescent="0.3">
      <c r="A225" s="39"/>
      <c r="F225" s="39"/>
    </row>
    <row r="226" spans="1:6" x14ac:dyDescent="0.3">
      <c r="A226" s="39"/>
      <c r="F226" s="39"/>
    </row>
    <row r="227" spans="1:6" x14ac:dyDescent="0.3">
      <c r="A227" s="39"/>
      <c r="F227" s="39"/>
    </row>
    <row r="228" spans="1:6" x14ac:dyDescent="0.3">
      <c r="A228" s="39"/>
      <c r="F228" s="39"/>
    </row>
    <row r="229" spans="1:6" x14ac:dyDescent="0.3">
      <c r="A229" s="39"/>
      <c r="F229" s="39"/>
    </row>
    <row r="230" spans="1:6" x14ac:dyDescent="0.3">
      <c r="A230" s="39"/>
      <c r="F230" s="39"/>
    </row>
    <row r="231" spans="1:6" x14ac:dyDescent="0.3">
      <c r="A231" s="39"/>
      <c r="F231" s="39"/>
    </row>
    <row r="232" spans="1:6" x14ac:dyDescent="0.3">
      <c r="A232" s="39"/>
      <c r="F232" s="39"/>
    </row>
    <row r="233" spans="1:6" x14ac:dyDescent="0.3">
      <c r="A233" s="39"/>
      <c r="F233" s="39"/>
    </row>
    <row r="234" spans="1:6" x14ac:dyDescent="0.3">
      <c r="A234" s="39"/>
      <c r="F234" s="39"/>
    </row>
    <row r="235" spans="1:6" x14ac:dyDescent="0.3">
      <c r="A235" s="39"/>
      <c r="F235" s="39"/>
    </row>
    <row r="236" spans="1:6" x14ac:dyDescent="0.3">
      <c r="A236" s="39"/>
      <c r="F236" s="39"/>
    </row>
    <row r="237" spans="1:6" x14ac:dyDescent="0.3">
      <c r="A237" s="39"/>
      <c r="F237" s="39"/>
    </row>
    <row r="238" spans="1:6" x14ac:dyDescent="0.3">
      <c r="A238" s="39"/>
      <c r="F238" s="39"/>
    </row>
    <row r="239" spans="1:6" x14ac:dyDescent="0.3">
      <c r="A239" s="39"/>
      <c r="F239" s="39"/>
    </row>
    <row r="240" spans="1:6" x14ac:dyDescent="0.3">
      <c r="A240" s="39"/>
      <c r="F240" s="39"/>
    </row>
    <row r="241" spans="1:6" x14ac:dyDescent="0.3">
      <c r="A241" s="39"/>
      <c r="F241" s="39"/>
    </row>
    <row r="242" spans="1:6" x14ac:dyDescent="0.3">
      <c r="A242" s="39"/>
      <c r="F242" s="39"/>
    </row>
    <row r="243" spans="1:6" x14ac:dyDescent="0.3">
      <c r="A243" s="39"/>
      <c r="F243" s="39"/>
    </row>
    <row r="244" spans="1:6" x14ac:dyDescent="0.3">
      <c r="A244" s="39"/>
      <c r="F244" s="39"/>
    </row>
    <row r="245" spans="1:6" x14ac:dyDescent="0.3">
      <c r="A245" s="39"/>
      <c r="F245" s="39"/>
    </row>
    <row r="246" spans="1:6" x14ac:dyDescent="0.3">
      <c r="A246" s="39"/>
      <c r="F246" s="39"/>
    </row>
    <row r="247" spans="1:6" x14ac:dyDescent="0.3">
      <c r="A247" s="39"/>
      <c r="F247" s="39"/>
    </row>
    <row r="248" spans="1:6" x14ac:dyDescent="0.3">
      <c r="A248" s="39"/>
      <c r="F248" s="39"/>
    </row>
    <row r="249" spans="1:6" x14ac:dyDescent="0.3">
      <c r="A249" s="39"/>
      <c r="F249" s="39"/>
    </row>
    <row r="250" spans="1:6" x14ac:dyDescent="0.3">
      <c r="A250" s="39"/>
      <c r="F250" s="39"/>
    </row>
    <row r="251" spans="1:6" x14ac:dyDescent="0.3">
      <c r="A251" s="39"/>
      <c r="F251" s="39"/>
    </row>
    <row r="252" spans="1:6" x14ac:dyDescent="0.3">
      <c r="A252" s="39"/>
      <c r="F252" s="39"/>
    </row>
    <row r="253" spans="1:6" x14ac:dyDescent="0.3">
      <c r="A253" s="39"/>
      <c r="F253" s="39"/>
    </row>
    <row r="254" spans="1:6" x14ac:dyDescent="0.3">
      <c r="A254" s="39"/>
      <c r="F254" s="39"/>
    </row>
    <row r="255" spans="1:6" x14ac:dyDescent="0.3">
      <c r="A255" s="39"/>
      <c r="F255" s="39"/>
    </row>
    <row r="256" spans="1:6" x14ac:dyDescent="0.3">
      <c r="A256" s="39"/>
      <c r="F256" s="39"/>
    </row>
    <row r="257" spans="1:6" x14ac:dyDescent="0.3">
      <c r="A257" s="39"/>
      <c r="F257" s="39"/>
    </row>
    <row r="258" spans="1:6" x14ac:dyDescent="0.3">
      <c r="A258" s="39"/>
      <c r="F258" s="39"/>
    </row>
    <row r="259" spans="1:6" x14ac:dyDescent="0.3">
      <c r="A259" s="39"/>
      <c r="F259" s="39"/>
    </row>
    <row r="260" spans="1:6" x14ac:dyDescent="0.3">
      <c r="A260" s="39"/>
      <c r="F260" s="39"/>
    </row>
    <row r="261" spans="1:6" x14ac:dyDescent="0.3">
      <c r="A261" s="39"/>
      <c r="F261" s="39"/>
    </row>
    <row r="262" spans="1:6" x14ac:dyDescent="0.3">
      <c r="A262" s="39"/>
      <c r="F262" s="39"/>
    </row>
    <row r="263" spans="1:6" x14ac:dyDescent="0.3">
      <c r="A263" s="39"/>
      <c r="F263" s="39"/>
    </row>
    <row r="264" spans="1:6" x14ac:dyDescent="0.3">
      <c r="A264" s="39"/>
      <c r="F264" s="39"/>
    </row>
    <row r="265" spans="1:6" x14ac:dyDescent="0.3">
      <c r="A265" s="39"/>
      <c r="F265" s="39"/>
    </row>
    <row r="266" spans="1:6" x14ac:dyDescent="0.3">
      <c r="A266" s="39"/>
      <c r="F266" s="39"/>
    </row>
    <row r="267" spans="1:6" x14ac:dyDescent="0.3">
      <c r="A267" s="39"/>
      <c r="F267" s="39"/>
    </row>
    <row r="268" spans="1:6" x14ac:dyDescent="0.3">
      <c r="A268" s="39"/>
      <c r="F268" s="39"/>
    </row>
    <row r="269" spans="1:6" x14ac:dyDescent="0.3">
      <c r="A269" s="39"/>
      <c r="F269" s="39"/>
    </row>
    <row r="270" spans="1:6" x14ac:dyDescent="0.3">
      <c r="A270" s="39"/>
      <c r="F270" s="39"/>
    </row>
    <row r="271" spans="1:6" x14ac:dyDescent="0.3">
      <c r="A271" s="39"/>
      <c r="F271" s="39"/>
    </row>
    <row r="272" spans="1:6" x14ac:dyDescent="0.3">
      <c r="A272" s="39"/>
      <c r="F272" s="39"/>
    </row>
    <row r="273" spans="1:6" x14ac:dyDescent="0.3">
      <c r="A273" s="39"/>
      <c r="F273" s="39"/>
    </row>
    <row r="274" spans="1:6" x14ac:dyDescent="0.3">
      <c r="A274" s="39"/>
      <c r="F274" s="39"/>
    </row>
    <row r="275" spans="1:6" x14ac:dyDescent="0.3">
      <c r="A275" s="39"/>
      <c r="F275" s="39"/>
    </row>
    <row r="276" spans="1:6" x14ac:dyDescent="0.3">
      <c r="A276" s="39"/>
      <c r="F276" s="39"/>
    </row>
    <row r="277" spans="1:6" x14ac:dyDescent="0.3">
      <c r="A277" s="39"/>
      <c r="F277" s="39"/>
    </row>
    <row r="278" spans="1:6" x14ac:dyDescent="0.3">
      <c r="A278" s="39"/>
      <c r="F278" s="39"/>
    </row>
    <row r="279" spans="1:6" x14ac:dyDescent="0.3">
      <c r="A279" s="39"/>
      <c r="F279" s="39"/>
    </row>
    <row r="280" spans="1:6" x14ac:dyDescent="0.3">
      <c r="A280" s="39"/>
      <c r="F280" s="39"/>
    </row>
    <row r="281" spans="1:6" x14ac:dyDescent="0.3">
      <c r="A281" s="39"/>
      <c r="F281" s="39"/>
    </row>
    <row r="282" spans="1:6" x14ac:dyDescent="0.3">
      <c r="A282" s="39"/>
      <c r="F282" s="39"/>
    </row>
    <row r="283" spans="1:6" x14ac:dyDescent="0.3">
      <c r="A283" s="39"/>
      <c r="F283" s="39"/>
    </row>
    <row r="284" spans="1:6" x14ac:dyDescent="0.3">
      <c r="A284" s="39"/>
      <c r="F284" s="39"/>
    </row>
    <row r="285" spans="1:6" x14ac:dyDescent="0.3">
      <c r="A285" s="39"/>
      <c r="F285" s="39"/>
    </row>
    <row r="286" spans="1:6" x14ac:dyDescent="0.3">
      <c r="A286" s="39"/>
      <c r="F286" s="39"/>
    </row>
    <row r="287" spans="1:6" x14ac:dyDescent="0.3">
      <c r="A287" s="39"/>
      <c r="F287" s="39"/>
    </row>
    <row r="288" spans="1:6" x14ac:dyDescent="0.3">
      <c r="A288" s="39"/>
      <c r="F288" s="39"/>
    </row>
    <row r="289" spans="1:6" x14ac:dyDescent="0.3">
      <c r="A289" s="39"/>
      <c r="F289" s="39"/>
    </row>
    <row r="290" spans="1:6" x14ac:dyDescent="0.3">
      <c r="A290" s="39"/>
      <c r="F290" s="39"/>
    </row>
    <row r="291" spans="1:6" x14ac:dyDescent="0.3">
      <c r="A291" s="39"/>
      <c r="F291" s="39"/>
    </row>
    <row r="292" spans="1:6" x14ac:dyDescent="0.3">
      <c r="A292" s="39"/>
      <c r="F292" s="39"/>
    </row>
    <row r="293" spans="1:6" x14ac:dyDescent="0.3">
      <c r="A293" s="39"/>
      <c r="F293" s="39"/>
    </row>
    <row r="294" spans="1:6" x14ac:dyDescent="0.3">
      <c r="A294" s="39"/>
      <c r="F294" s="39"/>
    </row>
    <row r="295" spans="1:6" x14ac:dyDescent="0.3">
      <c r="A295" s="39"/>
      <c r="F295" s="39"/>
    </row>
    <row r="296" spans="1:6" x14ac:dyDescent="0.3">
      <c r="A296" s="39"/>
      <c r="F296" s="39"/>
    </row>
    <row r="297" spans="1:6" x14ac:dyDescent="0.3">
      <c r="A297" s="39"/>
      <c r="F297" s="39"/>
    </row>
    <row r="298" spans="1:6" x14ac:dyDescent="0.3">
      <c r="A298" s="39"/>
      <c r="F298" s="39"/>
    </row>
    <row r="299" spans="1:6" x14ac:dyDescent="0.3">
      <c r="A299" s="39"/>
      <c r="F299" s="39"/>
    </row>
    <row r="300" spans="1:6" x14ac:dyDescent="0.3">
      <c r="A300" s="39"/>
      <c r="F300" s="39"/>
    </row>
    <row r="301" spans="1:6" x14ac:dyDescent="0.3">
      <c r="A301" s="39"/>
      <c r="F301" s="39"/>
    </row>
    <row r="302" spans="1:6" x14ac:dyDescent="0.3">
      <c r="A302" s="39"/>
      <c r="F302" s="39"/>
    </row>
    <row r="303" spans="1:6" x14ac:dyDescent="0.3">
      <c r="A303" s="39"/>
      <c r="F303" s="39"/>
    </row>
    <row r="304" spans="1:6" x14ac:dyDescent="0.3">
      <c r="A304" s="39"/>
      <c r="F304" s="39"/>
    </row>
    <row r="305" spans="1:6" x14ac:dyDescent="0.3">
      <c r="A305" s="39"/>
      <c r="F305" s="39"/>
    </row>
    <row r="306" spans="1:6" x14ac:dyDescent="0.3">
      <c r="A306" s="39"/>
      <c r="F306" s="39"/>
    </row>
    <row r="307" spans="1:6" x14ac:dyDescent="0.3">
      <c r="A307" s="39"/>
      <c r="F307" s="39"/>
    </row>
    <row r="308" spans="1:6" x14ac:dyDescent="0.3">
      <c r="A308" s="39"/>
      <c r="F308" s="39"/>
    </row>
    <row r="309" spans="1:6" x14ac:dyDescent="0.3">
      <c r="A309" s="39"/>
      <c r="F309" s="39"/>
    </row>
    <row r="310" spans="1:6" x14ac:dyDescent="0.3">
      <c r="A310" s="39"/>
      <c r="F310" s="39"/>
    </row>
    <row r="311" spans="1:6" x14ac:dyDescent="0.3">
      <c r="A311" s="39"/>
      <c r="F311" s="39"/>
    </row>
    <row r="312" spans="1:6" x14ac:dyDescent="0.3">
      <c r="A312" s="39"/>
      <c r="F312" s="39"/>
    </row>
    <row r="313" spans="1:6" x14ac:dyDescent="0.3">
      <c r="A313" s="39"/>
      <c r="F313" s="39"/>
    </row>
    <row r="314" spans="1:6" x14ac:dyDescent="0.3">
      <c r="A314" s="39"/>
      <c r="F314" s="39"/>
    </row>
    <row r="315" spans="1:6" x14ac:dyDescent="0.3">
      <c r="A315" s="39"/>
      <c r="F315" s="39"/>
    </row>
    <row r="316" spans="1:6" x14ac:dyDescent="0.3">
      <c r="A316" s="39"/>
      <c r="F316" s="39"/>
    </row>
    <row r="317" spans="1:6" x14ac:dyDescent="0.3">
      <c r="A317" s="39"/>
      <c r="F317" s="39"/>
    </row>
    <row r="318" spans="1:6" x14ac:dyDescent="0.3">
      <c r="A318" s="39"/>
      <c r="F318" s="39"/>
    </row>
    <row r="319" spans="1:6" x14ac:dyDescent="0.3">
      <c r="A319" s="39"/>
      <c r="F319" s="39"/>
    </row>
    <row r="320" spans="1:6" x14ac:dyDescent="0.3">
      <c r="A320" s="39"/>
      <c r="F320" s="39"/>
    </row>
    <row r="321" spans="1:6" x14ac:dyDescent="0.3">
      <c r="A321" s="39"/>
      <c r="F321" s="39"/>
    </row>
    <row r="322" spans="1:6" x14ac:dyDescent="0.3">
      <c r="A322" s="39"/>
      <c r="F322" s="39"/>
    </row>
    <row r="323" spans="1:6" x14ac:dyDescent="0.3">
      <c r="A323" s="39"/>
      <c r="F323" s="39"/>
    </row>
    <row r="324" spans="1:6" x14ac:dyDescent="0.3">
      <c r="A324" s="39"/>
      <c r="F324" s="39"/>
    </row>
    <row r="325" spans="1:6" x14ac:dyDescent="0.3">
      <c r="A325" s="39"/>
      <c r="F325" s="39"/>
    </row>
    <row r="326" spans="1:6" x14ac:dyDescent="0.3">
      <c r="A326" s="39"/>
      <c r="F326" s="39"/>
    </row>
    <row r="327" spans="1:6" x14ac:dyDescent="0.3">
      <c r="A327" s="39"/>
      <c r="F327" s="39"/>
    </row>
    <row r="328" spans="1:6" x14ac:dyDescent="0.3">
      <c r="A328" s="39"/>
      <c r="F328" s="39"/>
    </row>
    <row r="329" spans="1:6" x14ac:dyDescent="0.3">
      <c r="A329" s="39"/>
      <c r="F329" s="39"/>
    </row>
    <row r="330" spans="1:6" x14ac:dyDescent="0.3">
      <c r="A330" s="39"/>
      <c r="F330" s="39"/>
    </row>
    <row r="331" spans="1:6" x14ac:dyDescent="0.3">
      <c r="A331" s="39"/>
      <c r="F331" s="39"/>
    </row>
    <row r="332" spans="1:6" x14ac:dyDescent="0.3">
      <c r="A332" s="39"/>
      <c r="F332" s="39"/>
    </row>
    <row r="333" spans="1:6" x14ac:dyDescent="0.3">
      <c r="A333" s="39"/>
      <c r="F333" s="39"/>
    </row>
    <row r="334" spans="1:6" x14ac:dyDescent="0.3">
      <c r="A334" s="39"/>
      <c r="F334" s="39"/>
    </row>
    <row r="335" spans="1:6" x14ac:dyDescent="0.3">
      <c r="A335" s="39"/>
      <c r="F335" s="39"/>
    </row>
    <row r="336" spans="1:6" x14ac:dyDescent="0.3">
      <c r="A336" s="39"/>
      <c r="F336" s="39"/>
    </row>
    <row r="337" spans="1:6" x14ac:dyDescent="0.3">
      <c r="A337" s="39"/>
      <c r="F337" s="39"/>
    </row>
    <row r="338" spans="1:6" x14ac:dyDescent="0.3">
      <c r="A338" s="39"/>
      <c r="F338" s="39"/>
    </row>
    <row r="339" spans="1:6" x14ac:dyDescent="0.3">
      <c r="A339" s="39"/>
      <c r="F339" s="39"/>
    </row>
    <row r="340" spans="1:6" x14ac:dyDescent="0.3">
      <c r="A340" s="39"/>
      <c r="F340" s="39"/>
    </row>
    <row r="341" spans="1:6" x14ac:dyDescent="0.3">
      <c r="A341" s="39"/>
      <c r="F341" s="39"/>
    </row>
    <row r="342" spans="1:6" x14ac:dyDescent="0.3">
      <c r="A342" s="39"/>
      <c r="F342" s="39"/>
    </row>
    <row r="343" spans="1:6" x14ac:dyDescent="0.3">
      <c r="A343" s="39"/>
      <c r="F343" s="39"/>
    </row>
    <row r="344" spans="1:6" x14ac:dyDescent="0.3">
      <c r="A344" s="39"/>
      <c r="F344" s="39"/>
    </row>
    <row r="345" spans="1:6" x14ac:dyDescent="0.3">
      <c r="A345" s="39"/>
      <c r="F345" s="39"/>
    </row>
    <row r="346" spans="1:6" x14ac:dyDescent="0.3">
      <c r="A346" s="39"/>
      <c r="F346" s="39"/>
    </row>
    <row r="347" spans="1:6" x14ac:dyDescent="0.3">
      <c r="A347" s="39"/>
      <c r="F347" s="39"/>
    </row>
    <row r="348" spans="1:6" x14ac:dyDescent="0.3">
      <c r="A348" s="39"/>
      <c r="F348" s="39"/>
    </row>
    <row r="349" spans="1:6" x14ac:dyDescent="0.3">
      <c r="A349" s="39"/>
      <c r="F349" s="39"/>
    </row>
    <row r="350" spans="1:6" x14ac:dyDescent="0.3">
      <c r="A350" s="39"/>
      <c r="F350" s="39"/>
    </row>
    <row r="351" spans="1:6" x14ac:dyDescent="0.3">
      <c r="A351" s="39"/>
      <c r="F351" s="39"/>
    </row>
    <row r="352" spans="1:6" x14ac:dyDescent="0.3">
      <c r="A352" s="39"/>
      <c r="F352" s="39"/>
    </row>
    <row r="353" spans="1:6" x14ac:dyDescent="0.3">
      <c r="A353" s="39"/>
      <c r="F353" s="39"/>
    </row>
    <row r="354" spans="1:6" x14ac:dyDescent="0.3">
      <c r="A354" s="39"/>
      <c r="F354" s="39"/>
    </row>
    <row r="355" spans="1:6" x14ac:dyDescent="0.3">
      <c r="A355" s="39"/>
      <c r="F355" s="39"/>
    </row>
    <row r="356" spans="1:6" x14ac:dyDescent="0.3">
      <c r="A356" s="39"/>
      <c r="F356" s="39"/>
    </row>
    <row r="357" spans="1:6" x14ac:dyDescent="0.3">
      <c r="A357" s="39"/>
      <c r="F357" s="39"/>
    </row>
    <row r="358" spans="1:6" x14ac:dyDescent="0.3">
      <c r="A358" s="39"/>
      <c r="F358" s="39"/>
    </row>
    <row r="359" spans="1:6" x14ac:dyDescent="0.3">
      <c r="A359" s="39"/>
      <c r="F359" s="39"/>
    </row>
    <row r="360" spans="1:6" x14ac:dyDescent="0.3">
      <c r="A360" s="39"/>
      <c r="F360" s="39"/>
    </row>
    <row r="361" spans="1:6" x14ac:dyDescent="0.3">
      <c r="A361" s="39"/>
      <c r="F361" s="39"/>
    </row>
    <row r="362" spans="1:6" x14ac:dyDescent="0.3">
      <c r="A362" s="39"/>
      <c r="F362" s="39"/>
    </row>
    <row r="363" spans="1:6" x14ac:dyDescent="0.3">
      <c r="A363" s="39"/>
      <c r="F363" s="39"/>
    </row>
    <row r="364" spans="1:6" x14ac:dyDescent="0.3">
      <c r="A364" s="39"/>
      <c r="F364" s="39"/>
    </row>
    <row r="365" spans="1:6" x14ac:dyDescent="0.3">
      <c r="A365" s="39"/>
      <c r="F365" s="39"/>
    </row>
    <row r="366" spans="1:6" x14ac:dyDescent="0.3">
      <c r="A366" s="39"/>
      <c r="F366" s="39"/>
    </row>
    <row r="367" spans="1:6" x14ac:dyDescent="0.3">
      <c r="A367" s="39"/>
      <c r="F367" s="39"/>
    </row>
    <row r="368" spans="1:6" x14ac:dyDescent="0.3">
      <c r="A368" s="39"/>
      <c r="F368" s="39"/>
    </row>
    <row r="369" spans="1:6" x14ac:dyDescent="0.3">
      <c r="A369" s="39"/>
      <c r="F369" s="39"/>
    </row>
    <row r="370" spans="1:6" x14ac:dyDescent="0.3">
      <c r="A370" s="39"/>
      <c r="F370" s="39"/>
    </row>
    <row r="371" spans="1:6" x14ac:dyDescent="0.3">
      <c r="A371" s="39"/>
      <c r="F371" s="39"/>
    </row>
    <row r="372" spans="1:6" x14ac:dyDescent="0.3">
      <c r="A372" s="39"/>
      <c r="F372" s="39"/>
    </row>
    <row r="373" spans="1:6" x14ac:dyDescent="0.3">
      <c r="A373" s="39"/>
      <c r="F373" s="39"/>
    </row>
    <row r="374" spans="1:6" x14ac:dyDescent="0.3">
      <c r="A374" s="39"/>
      <c r="F374" s="3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100"/>
  <sheetViews>
    <sheetView workbookViewId="0">
      <selection activeCell="H2" sqref="H2"/>
    </sheetView>
  </sheetViews>
  <sheetFormatPr defaultRowHeight="15" x14ac:dyDescent="0.25"/>
  <cols>
    <col min="1" max="1" width="26.28515625" customWidth="1"/>
    <col min="2" max="2" width="10.85546875" bestFit="1" customWidth="1"/>
    <col min="3" max="3" width="9.28515625" bestFit="1" customWidth="1"/>
    <col min="4" max="4" width="14.140625" bestFit="1" customWidth="1"/>
    <col min="5" max="5" width="9.7109375" bestFit="1" customWidth="1"/>
    <col min="6" max="6" width="10.140625" bestFit="1" customWidth="1"/>
    <col min="7" max="7" width="9.140625" bestFit="1" customWidth="1"/>
    <col min="8" max="8" width="14.42578125" bestFit="1" customWidth="1"/>
  </cols>
  <sheetData>
    <row r="1" spans="1:8" ht="18.75" x14ac:dyDescent="0.3">
      <c r="A1" s="43" t="s">
        <v>136</v>
      </c>
      <c r="B1" s="44" t="s">
        <v>137</v>
      </c>
      <c r="C1" s="43" t="s">
        <v>138</v>
      </c>
      <c r="D1" s="43" t="s">
        <v>139</v>
      </c>
      <c r="E1" s="43" t="s">
        <v>140</v>
      </c>
      <c r="F1" s="43" t="s">
        <v>141</v>
      </c>
      <c r="G1" s="43" t="s">
        <v>142</v>
      </c>
      <c r="H1" s="43" t="s">
        <v>135</v>
      </c>
    </row>
    <row r="2" spans="1:8" ht="18.75" x14ac:dyDescent="0.3">
      <c r="C2" t="s">
        <v>170</v>
      </c>
      <c r="H2" s="30" t="s">
        <v>144</v>
      </c>
    </row>
    <row r="3" spans="1:8" ht="18.75" x14ac:dyDescent="0.3">
      <c r="A3" s="43" t="s">
        <v>136</v>
      </c>
      <c r="B3" s="44" t="s">
        <v>137</v>
      </c>
      <c r="C3" s="43" t="s">
        <v>138</v>
      </c>
      <c r="D3" s="43" t="s">
        <v>139</v>
      </c>
      <c r="E3" s="43" t="s">
        <v>140</v>
      </c>
      <c r="F3" s="43" t="s">
        <v>141</v>
      </c>
      <c r="G3" s="43" t="s">
        <v>142</v>
      </c>
      <c r="H3" s="43" t="s">
        <v>135</v>
      </c>
    </row>
    <row r="4" spans="1:8" ht="18.75" x14ac:dyDescent="0.3">
      <c r="A4" s="17" t="s">
        <v>171</v>
      </c>
      <c r="B4" s="75" t="s">
        <v>172</v>
      </c>
      <c r="C4" s="17" t="s">
        <v>170</v>
      </c>
      <c r="D4" s="17" t="s">
        <v>51</v>
      </c>
      <c r="E4" s="17">
        <v>2</v>
      </c>
      <c r="F4" s="17" t="s">
        <v>28</v>
      </c>
      <c r="G4" s="17" t="s">
        <v>56</v>
      </c>
      <c r="H4" s="14" t="s">
        <v>144</v>
      </c>
    </row>
    <row r="5" spans="1:8" ht="18.75" x14ac:dyDescent="0.3">
      <c r="A5" s="14" t="s">
        <v>173</v>
      </c>
      <c r="B5" s="39" t="s">
        <v>174</v>
      </c>
      <c r="C5" s="14" t="s">
        <v>170</v>
      </c>
      <c r="D5" s="14" t="s">
        <v>51</v>
      </c>
      <c r="E5" s="14">
        <v>4</v>
      </c>
      <c r="F5" s="14" t="s">
        <v>28</v>
      </c>
      <c r="G5" s="14" t="s">
        <v>39</v>
      </c>
      <c r="H5" s="17" t="s">
        <v>144</v>
      </c>
    </row>
    <row r="6" spans="1:8" ht="18.75" x14ac:dyDescent="0.3">
      <c r="A6" s="14"/>
      <c r="B6" s="39"/>
      <c r="C6" s="22"/>
      <c r="D6" s="14"/>
      <c r="E6" s="14"/>
      <c r="F6" s="14"/>
      <c r="G6" s="14"/>
      <c r="H6" s="14"/>
    </row>
    <row r="7" spans="1:8" ht="18.75" x14ac:dyDescent="0.3">
      <c r="A7" s="14"/>
      <c r="B7" s="39"/>
      <c r="C7" s="14"/>
      <c r="D7" s="14"/>
      <c r="E7" s="14"/>
      <c r="F7" s="14"/>
      <c r="G7" s="14"/>
      <c r="H7" s="14"/>
    </row>
    <row r="8" spans="1:8" ht="18.75" x14ac:dyDescent="0.3">
      <c r="A8" s="14"/>
      <c r="B8" s="39"/>
      <c r="C8" s="22"/>
      <c r="D8" s="14"/>
      <c r="E8" s="14"/>
      <c r="F8" s="14"/>
      <c r="G8" s="14"/>
      <c r="H8" s="14"/>
    </row>
    <row r="9" spans="1:8" ht="18.75" x14ac:dyDescent="0.3">
      <c r="A9" s="14"/>
      <c r="B9" s="39"/>
      <c r="C9" s="14"/>
      <c r="D9" s="14"/>
      <c r="E9" s="14"/>
      <c r="F9" s="14"/>
      <c r="G9" s="14"/>
      <c r="H9" s="14"/>
    </row>
    <row r="10" spans="1:8" ht="18.75" x14ac:dyDescent="0.3">
      <c r="A10" s="14"/>
      <c r="B10" s="84"/>
      <c r="C10" s="14"/>
      <c r="D10" s="14"/>
      <c r="E10" s="14"/>
      <c r="F10" s="14"/>
      <c r="G10" s="14"/>
      <c r="H10" s="14"/>
    </row>
    <row r="11" spans="1:8" ht="18.75" x14ac:dyDescent="0.3">
      <c r="A11" s="14"/>
      <c r="B11" s="39"/>
      <c r="C11" s="14"/>
      <c r="D11" s="14"/>
      <c r="E11" s="14"/>
      <c r="F11" s="14"/>
      <c r="G11" s="14"/>
      <c r="H11" s="14"/>
    </row>
    <row r="12" spans="1:8" ht="18.75" x14ac:dyDescent="0.3">
      <c r="A12" s="14"/>
      <c r="B12" s="39"/>
      <c r="C12" s="14"/>
      <c r="D12" s="14"/>
      <c r="E12" s="14"/>
      <c r="F12" s="14"/>
      <c r="G12" s="14"/>
      <c r="H12" s="14"/>
    </row>
    <row r="13" spans="1:8" ht="18.75" x14ac:dyDescent="0.3">
      <c r="A13" s="14"/>
      <c r="B13" s="39"/>
      <c r="C13" s="14"/>
      <c r="D13" s="14"/>
      <c r="E13" s="14"/>
      <c r="F13" s="14"/>
      <c r="G13" s="14"/>
      <c r="H13" s="14"/>
    </row>
    <row r="14" spans="1:8" ht="18.75" x14ac:dyDescent="0.3">
      <c r="A14" s="14"/>
      <c r="B14" s="39"/>
      <c r="C14" s="14"/>
      <c r="D14" s="14"/>
      <c r="E14" s="14"/>
      <c r="F14" s="14"/>
      <c r="G14" s="14"/>
      <c r="H14" s="14"/>
    </row>
    <row r="15" spans="1:8" ht="18.75" x14ac:dyDescent="0.3">
      <c r="A15" s="14"/>
      <c r="B15" s="39"/>
      <c r="C15" s="14"/>
      <c r="D15" s="14"/>
      <c r="E15" s="14"/>
      <c r="F15" s="14"/>
      <c r="G15" s="14"/>
      <c r="H15" s="14"/>
    </row>
    <row r="16" spans="1:8" ht="18.75" x14ac:dyDescent="0.3">
      <c r="A16" s="14"/>
      <c r="B16" s="39"/>
      <c r="C16" s="14"/>
      <c r="D16" s="14"/>
      <c r="E16" s="14"/>
      <c r="F16" s="14"/>
      <c r="G16" s="14"/>
      <c r="H16" s="14"/>
    </row>
    <row r="17" spans="1:8" ht="18.75" x14ac:dyDescent="0.3">
      <c r="A17" s="14"/>
      <c r="B17" s="39"/>
      <c r="C17" s="14"/>
      <c r="D17" s="14"/>
      <c r="E17" s="14"/>
      <c r="F17" s="14"/>
      <c r="G17" s="14"/>
      <c r="H17" s="14"/>
    </row>
    <row r="18" spans="1:8" ht="18.75" x14ac:dyDescent="0.3">
      <c r="A18" s="1"/>
      <c r="B18" s="85"/>
      <c r="C18" s="22"/>
      <c r="D18" s="14"/>
      <c r="E18" s="14"/>
      <c r="F18" s="14"/>
      <c r="G18" s="14"/>
      <c r="H18" s="14"/>
    </row>
    <row r="19" spans="1:8" ht="18.75" x14ac:dyDescent="0.3">
      <c r="A19" s="83"/>
      <c r="B19" s="86"/>
      <c r="C19" s="14"/>
      <c r="D19" s="14"/>
      <c r="E19" s="14"/>
      <c r="F19" s="14"/>
      <c r="G19" s="14"/>
      <c r="H19" s="14"/>
    </row>
    <row r="20" spans="1:8" ht="18.75" x14ac:dyDescent="0.3">
      <c r="A20" s="80"/>
      <c r="B20" s="81"/>
      <c r="C20" s="14"/>
      <c r="D20" s="14"/>
      <c r="E20" s="14"/>
      <c r="F20" s="14"/>
      <c r="G20" s="14"/>
      <c r="H20" s="14"/>
    </row>
    <row r="21" spans="1:8" ht="18.75" x14ac:dyDescent="0.3">
      <c r="A21" s="83"/>
      <c r="B21" s="81"/>
      <c r="C21" s="14"/>
      <c r="D21" s="14"/>
      <c r="E21" s="14"/>
      <c r="F21" s="14"/>
      <c r="G21" s="14"/>
      <c r="H21" s="14"/>
    </row>
    <row r="22" spans="1:8" ht="18.75" x14ac:dyDescent="0.3">
      <c r="A22" s="83"/>
      <c r="B22" s="81"/>
      <c r="C22" s="14"/>
      <c r="D22" s="14"/>
      <c r="E22" s="14"/>
      <c r="F22" s="14"/>
      <c r="G22" s="14"/>
      <c r="H22" s="14"/>
    </row>
    <row r="23" spans="1:8" ht="18.75" x14ac:dyDescent="0.3">
      <c r="A23" s="83"/>
      <c r="B23" s="81"/>
      <c r="C23" s="14"/>
      <c r="D23" s="14"/>
      <c r="E23" s="14"/>
      <c r="F23" s="14"/>
      <c r="G23" s="14"/>
      <c r="H23" s="14"/>
    </row>
    <row r="24" spans="1:8" ht="18.75" x14ac:dyDescent="0.3">
      <c r="A24" s="83"/>
      <c r="B24" s="81"/>
      <c r="C24" s="14"/>
      <c r="D24" s="14"/>
      <c r="E24" s="14"/>
      <c r="F24" s="14"/>
      <c r="G24" s="14"/>
      <c r="H24" s="14"/>
    </row>
    <row r="25" spans="1:8" ht="18.75" x14ac:dyDescent="0.3">
      <c r="A25" s="83"/>
      <c r="B25" s="81"/>
      <c r="C25" s="14"/>
      <c r="D25" s="14"/>
      <c r="E25" s="14"/>
      <c r="F25" s="14"/>
      <c r="G25" s="14"/>
      <c r="H25" s="14"/>
    </row>
    <row r="26" spans="1:8" ht="18.75" x14ac:dyDescent="0.3">
      <c r="A26" s="83"/>
      <c r="B26" s="82"/>
      <c r="C26" s="14"/>
      <c r="D26" s="14"/>
      <c r="E26" s="14"/>
      <c r="F26" s="14"/>
      <c r="G26" s="14"/>
      <c r="H26" s="14"/>
    </row>
    <row r="27" spans="1:8" ht="18.75" x14ac:dyDescent="0.3">
      <c r="A27" s="83"/>
      <c r="B27" s="82"/>
      <c r="C27" s="14"/>
      <c r="D27" s="14"/>
      <c r="E27" s="14"/>
      <c r="F27" s="14"/>
      <c r="G27" s="14"/>
      <c r="H27" s="14"/>
    </row>
    <row r="28" spans="1:8" ht="18.75" x14ac:dyDescent="0.3">
      <c r="A28" s="83"/>
      <c r="B28" s="82"/>
      <c r="C28" s="14"/>
      <c r="D28" s="14"/>
      <c r="E28" s="14"/>
      <c r="F28" s="14"/>
      <c r="G28" s="14"/>
      <c r="H28" s="14"/>
    </row>
    <row r="29" spans="1:8" ht="18.75" x14ac:dyDescent="0.3">
      <c r="A29" s="14"/>
      <c r="B29" s="39"/>
      <c r="C29" s="14"/>
      <c r="D29" s="14"/>
      <c r="E29" s="14"/>
      <c r="F29" s="14"/>
      <c r="G29" s="14"/>
      <c r="H29" s="17"/>
    </row>
    <row r="30" spans="1:8" ht="18.75" x14ac:dyDescent="0.3">
      <c r="A30" s="17"/>
      <c r="B30" s="59"/>
      <c r="C30" s="14"/>
      <c r="D30" s="17"/>
      <c r="E30" s="14"/>
      <c r="F30" s="17"/>
      <c r="G30" s="14"/>
      <c r="H30" s="17"/>
    </row>
    <row r="31" spans="1:8" ht="18.75" x14ac:dyDescent="0.3">
      <c r="A31" s="14"/>
      <c r="B31" s="84"/>
      <c r="C31" s="14"/>
      <c r="D31" s="14"/>
      <c r="E31" s="14"/>
      <c r="F31" s="14"/>
      <c r="G31" s="14"/>
      <c r="H31" s="17"/>
    </row>
    <row r="32" spans="1:8" ht="18.75" x14ac:dyDescent="0.3">
      <c r="A32" s="17"/>
      <c r="B32" s="75"/>
      <c r="C32" s="57"/>
      <c r="D32" s="17"/>
      <c r="E32" s="17"/>
      <c r="F32" s="17"/>
      <c r="G32" s="14"/>
      <c r="H32" s="17"/>
    </row>
    <row r="33" spans="1:8" ht="18.75" x14ac:dyDescent="0.3">
      <c r="A33" s="14"/>
      <c r="B33" s="39"/>
      <c r="C33" s="14"/>
      <c r="D33" s="14"/>
      <c r="E33" s="14"/>
      <c r="F33" s="14"/>
      <c r="G33" s="14"/>
      <c r="H33" s="68"/>
    </row>
    <row r="34" spans="1:8" ht="18.75" x14ac:dyDescent="0.3">
      <c r="A34" s="17"/>
      <c r="B34" s="75"/>
      <c r="C34" s="14"/>
      <c r="D34" s="17"/>
      <c r="E34" s="17"/>
      <c r="F34" s="17"/>
      <c r="G34" s="14"/>
      <c r="H34" s="17"/>
    </row>
    <row r="35" spans="1:8" ht="18.75" x14ac:dyDescent="0.3">
      <c r="A35" s="17"/>
      <c r="B35" s="59"/>
      <c r="C35" s="14"/>
      <c r="D35" s="17"/>
      <c r="E35" s="17"/>
      <c r="F35" s="17"/>
      <c r="G35" s="14"/>
      <c r="H35" s="17"/>
    </row>
    <row r="36" spans="1:8" ht="18.75" x14ac:dyDescent="0.3">
      <c r="A36" s="17"/>
      <c r="B36" s="59"/>
      <c r="C36" s="14"/>
      <c r="D36" s="17"/>
      <c r="E36" s="17"/>
      <c r="F36" s="17"/>
      <c r="G36" s="17"/>
      <c r="H36" s="17"/>
    </row>
    <row r="37" spans="1:8" ht="18.75" x14ac:dyDescent="0.3">
      <c r="A37" s="72"/>
      <c r="B37" s="87"/>
      <c r="C37" s="14"/>
      <c r="D37" s="17"/>
      <c r="E37" s="17"/>
      <c r="F37" s="17"/>
      <c r="G37" s="14"/>
      <c r="H37" s="17"/>
    </row>
    <row r="38" spans="1:8" ht="18.75" x14ac:dyDescent="0.3">
      <c r="A38" s="17"/>
      <c r="B38" s="59"/>
      <c r="C38" s="14"/>
      <c r="D38" s="17"/>
      <c r="E38" s="17"/>
      <c r="F38" s="17"/>
      <c r="G38" s="14"/>
      <c r="H38" s="17"/>
    </row>
    <row r="39" spans="1:8" ht="18.75" x14ac:dyDescent="0.3">
      <c r="A39" s="14"/>
      <c r="B39" s="39"/>
      <c r="C39" s="22"/>
      <c r="D39" s="14"/>
      <c r="E39" s="14"/>
      <c r="F39" s="14"/>
      <c r="G39" s="14"/>
      <c r="H39" s="14"/>
    </row>
    <row r="40" spans="1:8" ht="18.75" x14ac:dyDescent="0.3">
      <c r="A40" s="14"/>
      <c r="B40" s="39"/>
      <c r="C40" s="14"/>
      <c r="D40" s="14"/>
      <c r="E40" s="14"/>
      <c r="F40" s="14"/>
      <c r="G40" s="14"/>
      <c r="H40" s="17"/>
    </row>
    <row r="41" spans="1:8" ht="18.75" x14ac:dyDescent="0.3">
      <c r="A41" s="17"/>
      <c r="B41" s="59"/>
      <c r="C41" s="57"/>
      <c r="D41" s="17"/>
      <c r="E41" s="17"/>
      <c r="F41" s="17"/>
      <c r="G41" s="14"/>
      <c r="H41" s="14"/>
    </row>
    <row r="42" spans="1:8" ht="18.75" x14ac:dyDescent="0.3">
      <c r="A42" s="14"/>
      <c r="B42" s="84"/>
      <c r="C42" s="14"/>
      <c r="D42" s="14"/>
      <c r="E42" s="14"/>
      <c r="F42" s="14"/>
      <c r="G42" s="14"/>
      <c r="H42" s="17"/>
    </row>
    <row r="43" spans="1:8" ht="18.75" x14ac:dyDescent="0.3">
      <c r="A43" s="14"/>
      <c r="B43" s="84"/>
      <c r="C43" s="22"/>
      <c r="D43" s="14"/>
      <c r="E43" s="17"/>
      <c r="F43" s="14"/>
      <c r="G43" s="14"/>
      <c r="H43" s="14"/>
    </row>
    <row r="44" spans="1:8" ht="18.75" x14ac:dyDescent="0.3">
      <c r="A44" s="14"/>
      <c r="B44" s="84"/>
      <c r="C44" s="22"/>
      <c r="D44" s="14"/>
      <c r="E44" s="14"/>
      <c r="F44" s="14"/>
      <c r="G44" s="14"/>
      <c r="H44" s="14"/>
    </row>
    <row r="45" spans="1:8" ht="18.75" x14ac:dyDescent="0.3">
      <c r="A45" s="14"/>
      <c r="B45" s="84"/>
      <c r="C45" s="22"/>
      <c r="D45" s="14"/>
      <c r="E45" s="14"/>
      <c r="F45" s="14"/>
      <c r="G45" s="14"/>
      <c r="H45" s="14"/>
    </row>
    <row r="46" spans="1:8" ht="18.75" x14ac:dyDescent="0.3">
      <c r="A46" s="14"/>
      <c r="B46" s="84"/>
      <c r="C46" s="22"/>
      <c r="D46" s="14"/>
      <c r="E46" s="14"/>
      <c r="F46" s="14"/>
      <c r="G46" s="14"/>
      <c r="H46" s="14"/>
    </row>
    <row r="47" spans="1:8" ht="18.75" x14ac:dyDescent="0.3">
      <c r="A47" s="14"/>
      <c r="B47" s="39"/>
      <c r="C47" s="14"/>
      <c r="D47" s="14"/>
      <c r="E47" s="14"/>
      <c r="F47" s="14"/>
      <c r="G47" s="14"/>
      <c r="H47" s="14"/>
    </row>
    <row r="48" spans="1:8" ht="18.75" x14ac:dyDescent="0.3">
      <c r="A48" s="14"/>
      <c r="B48" s="39"/>
      <c r="C48" s="14"/>
      <c r="D48" s="14"/>
      <c r="E48" s="14"/>
      <c r="F48" s="14"/>
      <c r="G48" s="14"/>
      <c r="H48" s="14"/>
    </row>
    <row r="49" spans="1:8" ht="18.75" x14ac:dyDescent="0.3">
      <c r="A49" s="14"/>
      <c r="B49" s="39"/>
      <c r="C49" s="14"/>
      <c r="D49" s="14"/>
      <c r="E49" s="14"/>
      <c r="F49" s="14"/>
      <c r="G49" s="14"/>
      <c r="H49" s="14"/>
    </row>
    <row r="50" spans="1:8" ht="18.75" x14ac:dyDescent="0.3">
      <c r="A50" s="68"/>
      <c r="B50" s="59"/>
      <c r="C50" s="17"/>
      <c r="D50" s="17"/>
      <c r="E50" s="17"/>
      <c r="F50" s="17"/>
      <c r="G50" s="17"/>
      <c r="H50" s="17"/>
    </row>
    <row r="51" spans="1:8" ht="18.75" x14ac:dyDescent="0.3">
      <c r="A51" s="17"/>
      <c r="B51" s="59"/>
      <c r="C51" s="17"/>
      <c r="D51" s="17"/>
      <c r="E51" s="17"/>
      <c r="F51" s="17"/>
      <c r="G51" s="17"/>
      <c r="H51" s="17"/>
    </row>
    <row r="52" spans="1:8" ht="18.75" x14ac:dyDescent="0.3">
      <c r="A52" s="17"/>
      <c r="B52" s="59"/>
      <c r="C52" s="17"/>
      <c r="D52" s="17"/>
      <c r="E52" s="17"/>
      <c r="F52" s="17"/>
      <c r="G52" s="17"/>
      <c r="H52" s="17"/>
    </row>
    <row r="53" spans="1:8" ht="18.75" x14ac:dyDescent="0.3">
      <c r="A53" s="17"/>
      <c r="B53" s="59"/>
      <c r="C53" s="17"/>
      <c r="D53" s="17"/>
      <c r="E53" s="17"/>
      <c r="F53" s="17"/>
      <c r="G53" s="17"/>
      <c r="H53" s="17"/>
    </row>
    <row r="54" spans="1:8" ht="18.75" x14ac:dyDescent="0.3">
      <c r="A54" s="17"/>
      <c r="B54" s="59"/>
      <c r="C54" s="17"/>
      <c r="D54" s="17"/>
      <c r="E54" s="17"/>
      <c r="F54" s="17"/>
      <c r="G54" s="17"/>
      <c r="H54" s="17"/>
    </row>
    <row r="55" spans="1:8" ht="18.75" x14ac:dyDescent="0.3">
      <c r="A55" s="17"/>
      <c r="B55" s="59"/>
      <c r="C55" s="17"/>
      <c r="D55" s="17"/>
      <c r="E55" s="17"/>
      <c r="F55" s="17"/>
      <c r="G55" s="17"/>
      <c r="H55" s="17"/>
    </row>
    <row r="56" spans="1:8" ht="18.75" x14ac:dyDescent="0.3">
      <c r="A56" s="17"/>
      <c r="B56" s="59"/>
      <c r="C56" s="57"/>
      <c r="D56" s="17"/>
      <c r="E56" s="17"/>
      <c r="F56" s="17"/>
      <c r="G56" s="17"/>
      <c r="H56" s="17"/>
    </row>
    <row r="57" spans="1:8" ht="18.75" x14ac:dyDescent="0.3">
      <c r="A57" s="17"/>
      <c r="B57" s="59"/>
      <c r="C57" s="17"/>
      <c r="D57" s="17"/>
      <c r="E57" s="17"/>
      <c r="F57" s="17"/>
      <c r="G57" s="17"/>
      <c r="H57" s="17"/>
    </row>
    <row r="58" spans="1:8" ht="18.75" x14ac:dyDescent="0.3">
      <c r="A58" s="17"/>
      <c r="B58" s="59"/>
      <c r="C58" s="17"/>
      <c r="D58" s="17"/>
      <c r="E58" s="17"/>
      <c r="F58" s="17"/>
      <c r="G58" s="17"/>
      <c r="H58" s="17"/>
    </row>
    <row r="59" spans="1:8" ht="18.75" x14ac:dyDescent="0.3">
      <c r="A59" s="17"/>
      <c r="B59" s="59"/>
      <c r="C59" s="17"/>
      <c r="D59" s="17"/>
      <c r="E59" s="17"/>
      <c r="F59" s="17"/>
      <c r="G59" s="17"/>
      <c r="H59" s="17"/>
    </row>
    <row r="60" spans="1:8" ht="18.75" x14ac:dyDescent="0.3">
      <c r="A60" s="17"/>
      <c r="B60" s="59"/>
      <c r="C60" s="17"/>
      <c r="D60" s="17"/>
      <c r="E60" s="17"/>
      <c r="F60" s="17"/>
      <c r="G60" s="17"/>
      <c r="H60" s="17"/>
    </row>
    <row r="61" spans="1:8" ht="18.75" x14ac:dyDescent="0.3">
      <c r="A61" s="17"/>
      <c r="B61" s="59"/>
      <c r="C61" s="17"/>
      <c r="D61" s="17"/>
      <c r="E61" s="17"/>
      <c r="F61" s="17"/>
      <c r="G61" s="17"/>
      <c r="H61" s="17"/>
    </row>
    <row r="62" spans="1:8" ht="18.75" x14ac:dyDescent="0.3">
      <c r="A62" s="17"/>
      <c r="B62" s="59"/>
      <c r="C62" s="17"/>
      <c r="D62" s="17"/>
      <c r="E62" s="17"/>
      <c r="F62" s="17"/>
      <c r="G62" s="17"/>
      <c r="H62" s="17"/>
    </row>
    <row r="63" spans="1:8" ht="18.75" x14ac:dyDescent="0.3">
      <c r="A63" s="17"/>
      <c r="B63" s="59"/>
      <c r="C63" s="57"/>
      <c r="D63" s="17"/>
      <c r="E63" s="17"/>
      <c r="F63" s="17"/>
      <c r="G63" s="17"/>
      <c r="H63" s="17"/>
    </row>
    <row r="64" spans="1:8" ht="18.75" x14ac:dyDescent="0.3">
      <c r="A64" s="17"/>
      <c r="B64" s="59"/>
      <c r="C64" s="17"/>
      <c r="D64" s="17"/>
      <c r="E64" s="17"/>
      <c r="F64" s="17"/>
      <c r="G64" s="17"/>
      <c r="H64" s="17"/>
    </row>
    <row r="65" spans="1:8" ht="18.75" x14ac:dyDescent="0.3">
      <c r="A65" s="17"/>
      <c r="B65" s="59"/>
      <c r="C65" s="17"/>
      <c r="D65" s="17"/>
      <c r="E65" s="17"/>
      <c r="F65" s="17"/>
      <c r="G65" s="17"/>
      <c r="H65" s="17"/>
    </row>
    <row r="66" spans="1:8" ht="18.75" x14ac:dyDescent="0.3">
      <c r="A66" s="17"/>
      <c r="B66" s="59"/>
      <c r="C66" s="57"/>
      <c r="D66" s="17"/>
      <c r="E66" s="17"/>
      <c r="F66" s="17"/>
      <c r="G66" s="17"/>
      <c r="H66" s="17"/>
    </row>
    <row r="67" spans="1:8" ht="18.75" x14ac:dyDescent="0.3">
      <c r="A67" s="17"/>
      <c r="B67" s="59"/>
      <c r="C67" s="17"/>
      <c r="D67" s="17"/>
      <c r="E67" s="17"/>
      <c r="F67" s="17"/>
      <c r="G67" s="17"/>
      <c r="H67" s="17"/>
    </row>
    <row r="68" spans="1:8" ht="18.75" x14ac:dyDescent="0.3">
      <c r="A68" s="17"/>
      <c r="B68" s="59"/>
      <c r="C68" s="17"/>
      <c r="D68" s="17"/>
      <c r="E68" s="17"/>
      <c r="F68" s="17"/>
      <c r="G68" s="17"/>
      <c r="H68" s="17"/>
    </row>
    <row r="69" spans="1:8" ht="18.75" x14ac:dyDescent="0.3">
      <c r="A69" s="17"/>
      <c r="B69" s="59"/>
      <c r="C69" s="17"/>
      <c r="D69" s="17"/>
      <c r="E69" s="17"/>
      <c r="F69" s="17"/>
      <c r="G69" s="14"/>
      <c r="H69" s="17"/>
    </row>
    <row r="70" spans="1:8" ht="18.75" x14ac:dyDescent="0.3">
      <c r="A70" s="14"/>
      <c r="B70" s="39"/>
      <c r="C70" s="22"/>
      <c r="D70" s="14"/>
      <c r="E70" s="17"/>
      <c r="F70" s="14"/>
      <c r="G70" s="14"/>
      <c r="H70" s="17"/>
    </row>
    <row r="71" spans="1:8" ht="18.75" x14ac:dyDescent="0.3">
      <c r="A71" s="14"/>
      <c r="B71" s="39"/>
      <c r="C71" s="14"/>
      <c r="D71" s="14"/>
      <c r="E71" s="14"/>
      <c r="F71" s="14"/>
      <c r="G71" s="14"/>
      <c r="H71" s="17"/>
    </row>
    <row r="72" spans="1:8" ht="18.75" x14ac:dyDescent="0.3">
      <c r="A72" s="14"/>
      <c r="B72" s="39"/>
      <c r="C72" s="22"/>
      <c r="D72" s="14"/>
      <c r="E72" s="14"/>
      <c r="F72" s="14"/>
      <c r="G72" s="14"/>
      <c r="H72" s="17"/>
    </row>
    <row r="73" spans="1:8" ht="18.75" x14ac:dyDescent="0.3">
      <c r="A73" s="14"/>
      <c r="B73" s="39"/>
      <c r="C73" s="14"/>
      <c r="D73" s="14"/>
      <c r="E73" s="14"/>
      <c r="F73" s="14"/>
      <c r="G73" s="14"/>
      <c r="H73" s="17"/>
    </row>
    <row r="74" spans="1:8" ht="18.75" x14ac:dyDescent="0.3">
      <c r="A74" s="14"/>
      <c r="B74" s="39"/>
      <c r="C74" s="14"/>
      <c r="D74" s="14"/>
      <c r="E74" s="14"/>
      <c r="F74" s="14"/>
      <c r="G74" s="14"/>
      <c r="H74" s="17"/>
    </row>
    <row r="75" spans="1:8" ht="18.75" x14ac:dyDescent="0.3">
      <c r="A75" s="14"/>
      <c r="B75" s="39"/>
      <c r="C75" s="14"/>
      <c r="D75" s="14"/>
      <c r="E75" s="14"/>
      <c r="F75" s="14"/>
      <c r="G75" s="14"/>
      <c r="H75" s="17"/>
    </row>
    <row r="76" spans="1:8" ht="18.75" x14ac:dyDescent="0.3">
      <c r="A76" s="17"/>
      <c r="B76" s="59"/>
      <c r="C76" s="57"/>
      <c r="D76" s="17"/>
      <c r="E76" s="14"/>
      <c r="F76" s="17"/>
      <c r="G76" s="14"/>
      <c r="H76" s="17"/>
    </row>
    <row r="77" spans="1:8" ht="18.75" x14ac:dyDescent="0.3">
      <c r="A77" s="14"/>
      <c r="B77" s="39"/>
      <c r="C77" s="14"/>
      <c r="D77" s="14"/>
      <c r="E77" s="14"/>
      <c r="F77" s="14"/>
      <c r="G77" s="14"/>
      <c r="H77" s="17"/>
    </row>
    <row r="78" spans="1:8" ht="18.75" x14ac:dyDescent="0.3">
      <c r="A78" s="14"/>
      <c r="B78" s="39"/>
      <c r="C78" s="22"/>
      <c r="D78" s="14"/>
      <c r="E78" s="14"/>
      <c r="F78" s="14"/>
      <c r="G78" s="14"/>
      <c r="H78" s="17"/>
    </row>
    <row r="79" spans="1:8" ht="18.75" x14ac:dyDescent="0.3">
      <c r="A79" s="14"/>
      <c r="B79" s="39"/>
      <c r="C79" s="14"/>
      <c r="D79" s="14"/>
      <c r="E79" s="14"/>
      <c r="F79" s="14"/>
      <c r="G79" s="14"/>
      <c r="H79" s="17"/>
    </row>
    <row r="80" spans="1:8" ht="18.75" x14ac:dyDescent="0.3">
      <c r="A80" s="69"/>
      <c r="B80" s="70"/>
      <c r="C80" s="57"/>
      <c r="D80" s="17"/>
      <c r="E80" s="14"/>
      <c r="F80" s="17"/>
      <c r="G80" s="14"/>
      <c r="H80" s="17"/>
    </row>
    <row r="81" spans="1:8" ht="18.75" x14ac:dyDescent="0.3">
      <c r="A81" s="71"/>
      <c r="B81" s="70"/>
      <c r="C81" s="57"/>
      <c r="D81" s="17"/>
      <c r="E81" s="17"/>
      <c r="F81" s="17"/>
      <c r="G81" s="14"/>
      <c r="H81" s="17"/>
    </row>
    <row r="82" spans="1:8" ht="18.75" x14ac:dyDescent="0.3">
      <c r="A82" s="72"/>
      <c r="B82" s="70"/>
      <c r="C82" s="57"/>
      <c r="D82" s="17"/>
      <c r="E82" s="17"/>
      <c r="F82" s="17"/>
      <c r="G82" s="14"/>
      <c r="H82" s="17"/>
    </row>
    <row r="83" spans="1:8" ht="18.75" x14ac:dyDescent="0.3">
      <c r="A83" s="14"/>
      <c r="B83" s="39"/>
      <c r="C83" s="22"/>
      <c r="D83" s="14"/>
      <c r="E83" s="17"/>
      <c r="F83" s="14"/>
      <c r="G83" s="14"/>
      <c r="H83" s="17"/>
    </row>
    <row r="84" spans="1:8" ht="18.75" x14ac:dyDescent="0.3">
      <c r="A84" s="14"/>
      <c r="B84" s="39"/>
      <c r="C84" s="22"/>
      <c r="D84" s="14"/>
      <c r="E84" s="17"/>
      <c r="F84" s="14"/>
      <c r="G84" s="14"/>
      <c r="H84" s="17"/>
    </row>
    <row r="85" spans="1:8" ht="18.75" x14ac:dyDescent="0.3">
      <c r="A85" s="14"/>
      <c r="B85" s="39"/>
      <c r="C85" s="22"/>
      <c r="D85" s="14"/>
      <c r="E85" s="17"/>
      <c r="F85" s="14"/>
      <c r="G85" s="14"/>
      <c r="H85" s="17"/>
    </row>
    <row r="86" spans="1:8" ht="18.75" x14ac:dyDescent="0.3">
      <c r="A86" s="14"/>
      <c r="B86" s="39"/>
      <c r="C86" s="22"/>
      <c r="D86" s="14"/>
      <c r="E86" s="17"/>
      <c r="F86" s="14"/>
      <c r="G86" s="14"/>
      <c r="H86" s="17"/>
    </row>
    <row r="87" spans="1:8" ht="18.75" x14ac:dyDescent="0.3">
      <c r="A87" s="14"/>
      <c r="B87" s="39"/>
      <c r="C87" s="14"/>
      <c r="D87" s="14"/>
      <c r="E87" s="17"/>
      <c r="F87" s="14"/>
      <c r="G87" s="14"/>
      <c r="H87" s="17"/>
    </row>
    <row r="88" spans="1:8" ht="18.75" x14ac:dyDescent="0.3">
      <c r="A88" s="14"/>
      <c r="B88" s="39"/>
      <c r="C88" s="22"/>
      <c r="D88" s="14"/>
      <c r="E88" s="17"/>
      <c r="F88" s="14"/>
      <c r="G88" s="14"/>
      <c r="H88" s="17"/>
    </row>
    <row r="89" spans="1:8" ht="18.75" x14ac:dyDescent="0.3">
      <c r="A89" s="14"/>
      <c r="B89" s="39"/>
      <c r="C89" s="22"/>
      <c r="D89" s="14"/>
      <c r="E89" s="17"/>
      <c r="F89" s="14"/>
      <c r="G89" s="14"/>
      <c r="H89" s="17"/>
    </row>
    <row r="90" spans="1:8" ht="18.75" x14ac:dyDescent="0.3">
      <c r="A90" s="14"/>
      <c r="B90" s="39"/>
      <c r="C90" s="14"/>
      <c r="D90" s="14"/>
      <c r="E90" s="17"/>
      <c r="F90" s="14"/>
      <c r="G90" s="14"/>
      <c r="H90" s="17"/>
    </row>
    <row r="91" spans="1:8" ht="18.75" x14ac:dyDescent="0.3">
      <c r="A91" s="14"/>
      <c r="B91" s="39"/>
      <c r="C91" s="14"/>
      <c r="D91" s="14"/>
      <c r="E91" s="14"/>
      <c r="F91" s="14"/>
      <c r="G91" s="14"/>
      <c r="H91" s="17"/>
    </row>
    <row r="92" spans="1:8" ht="18.75" x14ac:dyDescent="0.3">
      <c r="A92" s="14"/>
      <c r="B92" s="39"/>
      <c r="C92" s="22"/>
      <c r="D92" s="14"/>
      <c r="E92" s="14"/>
      <c r="F92" s="14"/>
      <c r="G92" s="14"/>
      <c r="H92" s="17"/>
    </row>
    <row r="93" spans="1:8" ht="18.75" x14ac:dyDescent="0.3">
      <c r="A93" s="14"/>
      <c r="B93" s="39"/>
      <c r="C93" s="22"/>
      <c r="D93" s="14"/>
      <c r="E93" s="14"/>
      <c r="F93" s="14"/>
      <c r="G93" s="14"/>
      <c r="H93" s="17"/>
    </row>
    <row r="94" spans="1:8" ht="18.75" x14ac:dyDescent="0.3">
      <c r="A94" s="14"/>
      <c r="B94" s="39"/>
      <c r="C94" s="14"/>
      <c r="D94" s="14"/>
      <c r="E94" s="14"/>
      <c r="F94" s="14"/>
      <c r="G94" s="14"/>
      <c r="H94" s="17"/>
    </row>
    <row r="95" spans="1:8" ht="18.75" x14ac:dyDescent="0.3">
      <c r="A95" s="14"/>
      <c r="B95" s="39"/>
      <c r="C95" s="22"/>
      <c r="D95" s="14"/>
      <c r="E95" s="14"/>
      <c r="F95" s="14"/>
      <c r="G95" s="14"/>
      <c r="H95" s="17"/>
    </row>
    <row r="96" spans="1:8" ht="18.75" x14ac:dyDescent="0.3">
      <c r="A96" s="14"/>
      <c r="B96" s="39"/>
      <c r="C96" s="14"/>
      <c r="D96" s="14"/>
      <c r="E96" s="14"/>
      <c r="F96" s="14"/>
      <c r="G96" s="14"/>
      <c r="H96" s="17"/>
    </row>
    <row r="97" spans="1:8" ht="18.75" x14ac:dyDescent="0.3">
      <c r="A97" s="14"/>
      <c r="B97" s="39"/>
      <c r="C97" s="22"/>
      <c r="D97" s="14"/>
      <c r="E97" s="14"/>
      <c r="F97" s="14"/>
      <c r="G97" s="14"/>
      <c r="H97" s="17"/>
    </row>
    <row r="98" spans="1:8" ht="18.75" x14ac:dyDescent="0.3">
      <c r="A98" s="14"/>
      <c r="B98" s="39"/>
      <c r="C98" s="14"/>
      <c r="D98" s="14"/>
      <c r="E98" s="14"/>
      <c r="F98" s="14"/>
      <c r="G98" s="14"/>
      <c r="H98" s="17"/>
    </row>
    <row r="99" spans="1:8" ht="18.75" x14ac:dyDescent="0.3">
      <c r="A99" s="72"/>
      <c r="B99" s="70"/>
      <c r="C99" s="57"/>
      <c r="D99" s="17"/>
      <c r="E99" s="17"/>
      <c r="F99" s="17"/>
      <c r="G99" s="14"/>
      <c r="H99" s="17"/>
    </row>
    <row r="100" spans="1:8" ht="18.75" x14ac:dyDescent="0.3">
      <c r="A100" s="72"/>
      <c r="B100" s="70"/>
      <c r="C100" s="57"/>
      <c r="D100" s="17"/>
      <c r="E100" s="17"/>
      <c r="F100" s="17"/>
      <c r="G100" s="14"/>
      <c r="H100" s="17"/>
    </row>
  </sheetData>
  <protectedRanges>
    <protectedRange sqref="H2" name="Range1_1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MAIN</vt:lpstr>
      <vt:lpstr>BIENBAN</vt:lpstr>
      <vt:lpstr>DATA</vt:lpstr>
      <vt:lpstr>DATAPAX</vt:lpstr>
      <vt:lpstr>FILTER</vt:lpstr>
      <vt:lpstr>FILTERDATA</vt:lpstr>
      <vt:lpstr>FILTER!Criteria</vt:lpstr>
      <vt:lpstr>FILTERDATA!Criteria</vt:lpstr>
      <vt:lpstr>FILTER!Extract</vt:lpstr>
      <vt:lpstr>FILTERDATA!Extract</vt:lpstr>
      <vt:lpstr>luotxe</vt:lpstr>
      <vt:lpstr>BIENBAN!Print_Area</vt:lpstr>
      <vt:lpstr>DATA!Print_Area</vt:lpstr>
      <vt:lpstr>update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KDSB</cp:lastModifiedBy>
  <cp:lastPrinted>2021-01-28T18:53:18Z</cp:lastPrinted>
  <dcterms:created xsi:type="dcterms:W3CDTF">2020-09-02T09:45:25Z</dcterms:created>
  <dcterms:modified xsi:type="dcterms:W3CDTF">2021-03-14T13:19:51Z</dcterms:modified>
</cp:coreProperties>
</file>